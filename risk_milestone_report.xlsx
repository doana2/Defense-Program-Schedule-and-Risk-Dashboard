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9bb27ef944c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3f24358a2b74a0d"/>
    <x:sheet xmlns:r="http://schemas.openxmlformats.org/officeDocument/2006/relationships" name="Milestones" sheetId="2" r:id="R07e32b60b7e0414a"/>
    <x:sheet xmlns:r="http://schemas.openxmlformats.org/officeDocument/2006/relationships" name="Risks" sheetId="3" r:id="R64872581808b4d9b"/>
    <x:sheet xmlns:r="http://schemas.openxmlformats.org/officeDocument/2006/relationships" name="Changes" sheetId="4" r:id="R26e9ad66452f4b34"/>
    <x:sheet xmlns:r="http://schemas.openxmlformats.org/officeDocument/2006/relationships" name="History" sheetId="5" r:id="R9c24efbf084d47de"/>
    <x:sheet xmlns:r="http://schemas.openxmlformats.org/officeDocument/2006/relationships" name="Health" sheetId="6" r:id="Rf7d4218dab4a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0%"/>
    <x:numFmt numFmtId="203" formatCode="0.0"/>
    <x:numFmt numFmtId="204" formatCode="0.000"/>
  </x:numFmts>
  <x:fonts count="10">
    <x:font>
      <x:sz val="11"/>
      <x:name val="Carlito"/>
    </x:font>
    <x:font>
      <x:sz val="10"/>
      <x:color rgb="FF24384B"/>
      <x:name val="Arial"/>
    </x:font>
    <x:font>
      <x:b/>
      <x:sz val="15"/>
      <x:color rgb="FF122A40"/>
      <x:name val="Arial"/>
    </x:font>
    <x:font>
      <x:i/>
      <x:sz val="9"/>
      <x:color rgb="FF677A8C"/>
      <x:name val="Arial"/>
    </x:font>
    <x:font>
      <x:b/>
      <x:sz val="10"/>
      <x:color rgb="FFFFFFFF"/>
      <x:name val="Arial"/>
    </x:font>
    <x:font>
      <x:sz val="10"/>
      <x:color rgb="FF3765A0"/>
      <x:name val="Arial"/>
    </x:font>
    <x:font>
      <x:sz val="11"/>
      <x:color rgb="FF24384B"/>
      <x:name val="Arial"/>
    </x:font>
    <x:font>
      <x:b/>
      <x:sz val="16"/>
      <x:color rgb="FF24384B"/>
      <x:name val="Arial"/>
    </x:font>
    <x:font>
      <x:i/>
      <x:sz val="11"/>
      <x:color rgb="FF677A8C"/>
      <x:name val="Arial"/>
    </x:font>
    <x:font>
      <x:b/>
      <x:sz val="11"/>
      <x:color rgb="FF24384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2A40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0" fontId="6" fillId="0" borderId="0" xfId="0" applyNumberFormat="1" applyFont="1" applyFill="1" applyBorder="1"/>
    <x:xf numFmtId="203" fontId="6" fillId="0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  <x:dxfs count="2">
    <x:dxf>
      <x:font>
        <x:color rgb="FFB64640"/>
      </x:font>
      <x:fill>
        <x:patternFill patternType="solid">
          <x:bgColor rgb="FFFAE9E7"/>
        </x:patternFill>
      </x:fill>
    </x:dxf>
    <x:dxf>
      <x:font>
        <x:b/>
        <x:color rgb="FFB64640"/>
      </x:font>
      <x:fill>
        <x:patternFill patternType="solid">
          <x:bgColor rgb="FFFA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4b201bb8e42f5" /><Relationship Type="http://schemas.openxmlformats.org/officeDocument/2006/relationships/theme" Target="/xl/theme/theme1.xml" Id="Rc0271cb7a8484633" /><Relationship Type="http://schemas.microsoft.com/office/2022/11/relationships/FeaturePropertyBag" Target="/xl/featurePropertyBag/featurePropertyBag.xml" Id="R5d674a70d73844b0" /><Relationship Type="http://schemas.openxmlformats.org/officeDocument/2006/relationships/sharedStrings" Target="/xl/sharedStrings.xml" Id="Rb805f9319c7445ff" /><Relationship Type="http://schemas.openxmlformats.org/officeDocument/2006/relationships/worksheet" Target="/xl/worksheets/sheet1.xml" Id="R73f24358a2b74a0d" /><Relationship Type="http://schemas.openxmlformats.org/officeDocument/2006/relationships/worksheet" Target="/xl/worksheets/sheet2.xml" Id="R07e32b60b7e0414a" /><Relationship Type="http://schemas.openxmlformats.org/officeDocument/2006/relationships/worksheet" Target="/xl/worksheets/sheet3.xml" Id="R64872581808b4d9b" /><Relationship Type="http://schemas.openxmlformats.org/officeDocument/2006/relationships/worksheet" Target="/xl/worksheets/sheet4.xml" Id="R26e9ad66452f4b34" /><Relationship Type="http://schemas.openxmlformats.org/officeDocument/2006/relationships/worksheet" Target="/xl/worksheets/sheet5.xml" Id="R9c24efbf084d47de" /><Relationship Type="http://schemas.openxmlformats.org/officeDocument/2006/relationships/worksheet" Target="/xl/worksheets/sheet6.xml" Id="Rf7d4218dab4a439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lestonesData" displayName="MilestonesData" ref="A5:I37" headerRowCount="1" totalsRowCount="0" totalsRowShown="0">
  <x:tableColumns count="9">
    <x:tableColumn id="1" name="ID"/>
    <x:tableColumn id="2" name="Milestone"/>
    <x:tableColumn id="3" name="Baseline finish"/>
    <x:tableColumn id="4" name="Current finish"/>
    <x:tableColumn id="5" name="Complete %"/>
    <x:tableColumn id="6" name="Slip workdays"/>
    <x:tableColumn id="7" name="P80 finish"/>
    <x:tableColumn id="8" name="P(on baseline)"/>
    <x:tableColumn id="9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isksData" displayName="RisksData" ref="A5:K15" headerRowCount="1" totalsRowCount="0" totalsRowShown="0">
  <x:tableColumns count="11">
    <x:tableColumn id="1" name="Risk"/>
    <x:tableColumn id="2" name="Title"/>
    <x:tableColumn id="3" name="Probability"/>
    <x:tableColumn id="4" name="Low days"/>
    <x:tableColumn id="5" name="Mode days"/>
    <x:tableColumn id="6" name="High days"/>
    <x:tableColumn id="7" name="Expected days"/>
    <x:tableColumn id="8" name="Affected task"/>
    <x:tableColumn id="9" name="Owner"/>
    <x:tableColumn id="10" name="Mitigation"/>
    <x:tableColumn id="11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ngesData" displayName="ChangesData" ref="A5:K8" headerRowCount="1" totalsRowCount="0" totalsRowShown="0">
  <x:tableColumns count="11">
    <x:tableColumn id="1" name="Request"/>
    <x:tableColumn id="2" name="Task"/>
    <x:tableColumn id="3" name="Field"/>
    <x:tableColumn id="4" name="Before"/>
    <x:tableColumn id="5" name="Requested"/>
    <x:tableColumn id="6" name="Status"/>
    <x:tableColumn id="7" name="Requested on"/>
    <x:tableColumn id="8" name="Decision date"/>
    <x:tableColumn id="9" name="Owner"/>
    <x:tableColumn id="10" name="Reason"/>
    <x:tableColumn id="11" name="Appli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istoryData" displayName="HistoryData" ref="A5:F10" headerRowCount="1" totalsRowCount="0" totalsRowShown="0">
  <x:tableColumns count="6">
    <x:tableColumn id="1" name="Request"/>
    <x:tableColumn id="2" name="Timestamp"/>
    <x:tableColumn id="3" name="Actor"/>
    <x:tableColumn id="4" name="From"/>
    <x:tableColumn id="5" name="To"/>
    <x:tableColumn id="6" name="Decision recor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ealthData" displayName="HealthData" ref="A5:I19" headerRowCount="1" totalsRowCount="0" totalsRowShown="0">
  <x:tableColumns count="9">
    <x:tableColumn id="1" name="Point"/>
    <x:tableColumn id="2" name="Indicator"/>
    <x:tableColumn id="3" name="Numerator"/>
    <x:tableColumn id="4" name="Denominator"/>
    <x:tableColumn id="5" name="Result"/>
    <x:tableColumn id="6" name="Threshold"/>
    <x:tableColumn id="7" name="Direction"/>
    <x:tableColumn id="8" name="Status"/>
    <x:tableColumn id="9" name="Population and 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85a721afb24e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d6b5605b214e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f391b24a9446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f8f0ee12b644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780f037f4e44e2" /></Relationships>
</file>

<file path=xl/worksheets/sheet1.xml><?xml version="1.0" encoding="utf-8"?>
<x:worksheet xmlns:x="http://schemas.openxmlformats.org/spreadsheetml/2006/main">
  <x:sheetPr>
    <x:tabColor rgb="FF122A40"/>
  </x:sheetPr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4" max="4" width="75" hidden="0" customWidth="1"/>
  </x:cols>
  <x:sheetData>
    <x:row r="1">
      <x:c r="A1" s="17"/>
      <x:c r="B1" s="17"/>
      <x:c r="C1" s="17"/>
      <x:c r="D1" s="17"/>
      <x:c r="E1" s="17"/>
      <x:c r="F1" s="17"/>
    </x:row>
    <x:row r="2">
      <x:c r="A2" s="18" t="str">
        <x:v>MERIDIAN M-27 | Schedule review</x:v>
      </x:c>
      <x:c r="B2" s="17"/>
      <x:c r="C2" s="17"/>
      <x:c r="D2" s="17"/>
      <x:c r="E2" s="17"/>
      <x:c r="F2" s="17"/>
    </x:row>
    <x:row r="3">
      <x:c r="A3" s="17"/>
      <x:c r="B3" s="17"/>
      <x:c r="C3" s="17"/>
      <x:c r="D3" s="17"/>
      <x:c r="E3" s="17"/>
      <x:c r="F3" s="17"/>
    </x:row>
    <x:row r="4">
      <x:c r="A4" s="19" t="str">
        <x:v>Fictional, unclassified portfolio demonstration</x:v>
      </x:c>
      <x:c r="B4" s="17"/>
      <x:c r="C4" s="17"/>
      <x:c r="D4" s="17"/>
      <x:c r="E4" s="17"/>
      <x:c r="F4" s="17"/>
    </x:row>
    <x:row r="5">
      <x:c r="A5" s="17"/>
      <x:c r="B5" s="17"/>
      <x:c r="C5" s="17"/>
      <x:c r="D5" s="17"/>
      <x:c r="E5" s="17"/>
      <x:c r="F5" s="17"/>
    </x:row>
    <x:row r="6" ht="27" customHeight="1">
      <x:c r="A6" s="17" t="str">
        <x:v>Status date</x:v>
      </x:c>
      <x:c r="B6" s="20" t="n">
        <x:v>46283</x:v>
      </x:c>
      <x:c r="C6" s="17"/>
      <x:c r="D6" s="22" t="str">
        <x:v>Reading the report</x:v>
      </x:c>
      <x:c r="E6" s="17"/>
      <x:c r="F6" s="17"/>
    </x:row>
    <x:row r="7" ht="27" customHeight="1">
      <x:c r="A7" s="17" t="str">
        <x:v>Original baseline</x:v>
      </x:c>
      <x:c r="B7" s="20" t="n">
        <x:v>46625</x:v>
      </x:c>
      <x:c r="C7" s="17"/>
      <x:c r="D7" s="17"/>
      <x:c r="E7" s="17"/>
      <x:c r="F7" s="17"/>
    </x:row>
    <x:row r="8" ht="27" customHeight="1">
      <x:c r="A8" s="17" t="str">
        <x:v>Current acceptance</x:v>
      </x:c>
      <x:c r="B8" s="20" t="n">
        <x:v>46651</x:v>
      </x:c>
      <x:c r="C8" s="17"/>
      <x:c r="D8" s="17" t="str">
        <x:v>Dates use a Monday-Friday calendar with no holidays.</x:v>
      </x:c>
      <x:c r="E8" s="17"/>
      <x:c r="F8" s="17"/>
    </x:row>
    <x:row r="9" ht="27" customHeight="1">
      <x:c r="A9" s="17" t="str">
        <x:v>P50 completion</x:v>
      </x:c>
      <x:c r="B9" s="20" t="n">
        <x:v>46668</x:v>
      </x:c>
      <x:c r="C9" s="17"/>
      <x:c r="D9" s="17"/>
      <x:c r="E9" s="17"/>
      <x:c r="F9" s="17"/>
    </x:row>
    <x:row r="10" ht="27" customHeight="1">
      <x:c r="A10" s="17" t="str">
        <x:v>P80 completion</x:v>
      </x:c>
      <x:c r="B10" s="20" t="n">
        <x:v>46674</x:v>
      </x:c>
      <x:c r="C10" s="17"/>
      <x:c r="D10" s="17" t="str">
        <x:v>Risk probabilities and impact inputs are editable on Risks.</x:v>
      </x:c>
      <x:c r="E10" s="17"/>
      <x:c r="F10" s="17"/>
    </x:row>
    <x:row r="11" ht="27" customHeight="1">
      <x:c r="A11" s="17" t="str">
        <x:v>Leaf tasks / milestones</x:v>
      </x:c>
      <x:c r="B11" s="17" t="n">
        <x:v>152</x:v>
      </x:c>
      <x:c r="C11" s="17"/>
      <x:c r="D11" s="17"/>
      <x:c r="E11" s="17"/>
      <x:c r="F11" s="17"/>
    </x:row>
    <x:row r="12" ht="27" customHeight="1">
      <x:c r="A12" s="17" t="str">
        <x:v>Completed items</x:v>
      </x:c>
      <x:c r="B12" s="17" t="n">
        <x:v>78</x:v>
      </x:c>
      <x:c r="C12" s="17"/>
      <x:c r="D12" s="17" t="str">
        <x:v>Excel exposure and milestone flags recalculate.</x:v>
      </x:c>
      <x:c r="E12" s="17"/>
      <x:c r="F12" s="17"/>
    </x:row>
    <x:row r="13" ht="27" customHeight="1">
      <x:c r="A13" s="17" t="str">
        <x:v>Critical remaining</x:v>
      </x:c>
      <x:c r="B13" s="17" t="n">
        <x:v>66</x:v>
      </x:c>
      <x:c r="C13" s="17"/>
      <x:c r="D13" s="17"/>
      <x:c r="E13" s="17"/>
      <x:c r="F13" s="17"/>
    </x:row>
    <x:row r="14" ht="27" customHeight="1">
      <x:c r="A14" s="17" t="str">
        <x:v>Near-critical remaining</x:v>
      </x:c>
      <x:c r="B14" s="17" t="n">
        <x:v>0</x:v>
      </x:c>
      <x:c r="C14" s="17"/>
      <x:c r="D14" s="17" t="str">
        <x:v>CPM, resource loading and Monte Carlo require a Python rebuild.</x:v>
      </x:c>
      <x:c r="E14" s="17"/>
      <x:c r="F14" s="17"/>
    </x:row>
    <x:row r="15" ht="27" customHeight="1">
      <x:c r="A15" s="17" t="str">
        <x:v>Negative float remaining</x:v>
      </x:c>
      <x:c r="B15" s="17" t="n">
        <x:v>65</x:v>
      </x:c>
      <x:c r="C15" s="17"/>
      <x:c r="D15" s="17"/>
      <x:c r="E15" s="17"/>
      <x:c r="F15" s="17"/>
    </x:row>
    <x:row r="16" ht="27" customHeight="1">
      <x:c r="A16" s="17" t="str">
        <x:v>At-risk / missed milestones</x:v>
      </x:c>
      <x:c r="B16" s="17" t="n">
        <x:f>COUNTIFS('Milestones'!I6:I37,"At risk")+COUNTIFS('Milestones'!I6:I37,"Missed")</x:f>
        <x:v>16</x:v>
      </x:c>
      <x:c r="C16" s="17"/>
      <x:c r="D16" s="17" t="str">
        <x:v>Expected task-level risk days are not additive program delay.</x:v>
      </x:c>
      <x:c r="E16" s="17"/>
      <x:c r="F16" s="17"/>
    </x:row>
    <x:row r="17" ht="27" customHeight="1">
      <x:c r="A17" s="17" t="str">
        <x:v>Expected task risk days</x:v>
      </x:c>
      <x:c r="B17" s="21" t="n">
        <x:f>SUM('Risks'!G6:G15)</x:f>
        <x:v>39.56666666666667</x:v>
      </x:c>
      <x:c r="C17" s="17"/>
      <x:c r="D17" s="17"/>
      <x:c r="E17" s="17"/>
      <x:c r="F17" s="17"/>
    </x:row>
    <x:row r="18" ht="27" customHeight="1">
      <x:c r="A18" s="17" t="str">
        <x:v>Overloaded resource-days</x:v>
      </x:c>
      <x:c r="B18" s="17" t="n">
        <x:v>162</x:v>
      </x:c>
      <x:c r="C18" s="17"/>
      <x:c r="D18" s="17" t="str">
        <x:v>The forecast has not been resource-leveled.</x:v>
      </x:c>
      <x:c r="E18" s="17"/>
      <x:c r="F18" s="17"/>
    </x:row>
    <x:row r="19" ht="27" customHeight="1">
      <x:c r="A19" s="17" t="str">
        <x:v>Health indicators for review</x:v>
      </x:c>
      <x:c r="B19" s="17" t="n">
        <x:f>COUNTIFS('Health'!H6:H19,"REVIEW")</x:f>
        <x:v>6</x:v>
      </x:c>
      <x:c r="C19" s="17"/>
      <x:c r="D19" s="17"/>
      <x:c r="E19" s="17"/>
      <x:c r="F19" s="17"/>
    </x:row>
    <x:row r="20" ht="27" customHeight="1">
      <x:c r="A20" s="17" t="str">
        <x:v>Simulation trials</x:v>
      </x:c>
      <x:c r="B20" s="17" t="n">
        <x:v>5000</x:v>
      </x:c>
      <x:c r="C20" s="17"/>
      <x:c r="D20" s="17" t="str">
        <x:v>See docs/USER_GUIDE.md for refresh and baseline control.</x:v>
      </x:c>
      <x:c r="E20" s="17"/>
      <x:c r="F20" s="17"/>
    </x:row>
    <x:row r="21" ht="27" customHeight="1">
      <x:c r="A21" s="17" t="str">
        <x:v>Simulation seed</x:v>
      </x:c>
      <x:c r="B21" s="17" t="n">
        <x:v>27</x:v>
      </x:c>
      <x:c r="C21" s="17"/>
      <x:c r="D21" s="17"/>
      <x:c r="E21" s="17"/>
      <x:c r="F21" s="17"/>
    </x:row>
    <x:row r="22">
      <x:c r="A22" s="17"/>
      <x:c r="B22" s="17"/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59" hidden="0" customWidth="1"/>
    <x:col min="3" max="3" width="17" hidden="0" customWidth="1"/>
    <x:col min="4" max="4" width="17" hidden="0" customWidth="1"/>
    <x:col min="5" max="5" width="13" hidden="0" customWidth="1"/>
    <x:col min="6" max="6" width="16" hidden="0" customWidth="1"/>
    <x:col min="7" max="7" width="17" hidden="0" customWidth="1"/>
    <x:col min="8" max="8" width="18" hidden="0" customWidth="1"/>
    <x:col min="9" max="9" width="1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Milestone reporting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Fictional, unclassified. Status 18 Sep 2026. Derived forecast/SRA fields are Python snapshots.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6" t="str">
        <x:v>ID</x:v>
      </x:c>
      <x:c r="B5" s="6" t="str">
        <x:v>Milestone</x:v>
      </x:c>
      <x:c r="C5" s="6" t="str">
        <x:v>Baseline finish</x:v>
      </x:c>
      <x:c r="D5" s="6" t="str">
        <x:v>Current finish</x:v>
      </x:c>
      <x:c r="E5" s="6" t="str">
        <x:v>Complete %</x:v>
      </x:c>
      <x:c r="F5" s="6" t="str">
        <x:v>Slip workdays</x:v>
      </x:c>
      <x:c r="G5" s="6" t="str">
        <x:v>P80 finish</x:v>
      </x:c>
      <x:c r="H5" s="6" t="str">
        <x:v>P(on baseline)</x:v>
      </x:c>
      <x:c r="I5" s="6" t="str">
        <x:v>Status</x:v>
      </x:c>
    </x:row>
    <x:row r="6" ht="34" customHeight="1">
      <x:c r="A6" s="7" t="str">
        <x:v>T001</x:v>
      </x:c>
      <x:c r="B6" s="7" t="str">
        <x:v>Program authorization</x:v>
      </x:c>
      <x:c r="C6" s="8" t="n">
        <x:v>46118</x:v>
      </x:c>
      <x:c r="D6" s="8" t="n">
        <x:v>46118</x:v>
      </x:c>
      <x:c r="E6" s="7" t="n">
        <x:v>100</x:v>
      </x:c>
      <x:c r="F6" s="7" t="n">
        <x:f>IF(D6&gt;=C6,NETWORKDAYS(C6,D6)-1,-(NETWORKDAYS(D6,C6)-1))</x:f>
        <x:v>0</x:v>
      </x:c>
      <x:c r="G6" s="8" t="n">
        <x:v>46118</x:v>
      </x:c>
      <x:c r="H6" s="9" t="n">
        <x:v>1</x:v>
      </x:c>
      <x:c r="I6" s="7" t="str">
        <x:f>IF(E6=100,"Complete",IF(C6&lt;'Overview'!B6,"Missed",IF(OR(F6&gt;0,H6&lt;0.8),"At risk","On track")))</x:f>
        <x:v>Complete</x:v>
      </x:c>
    </x:row>
    <x:row r="7" ht="34" customHeight="1">
      <x:c r="A7" s="7" t="str">
        <x:v>T006</x:v>
      </x:c>
      <x:c r="B7" s="7" t="str">
        <x:v>Airframe definition: Approval gate</x:v>
      </x:c>
      <x:c r="C7" s="8" t="n">
        <x:v>46171</x:v>
      </x:c>
      <x:c r="D7" s="8" t="n">
        <x:v>46171</x:v>
      </x:c>
      <x:c r="E7" s="7" t="n">
        <x:v>100</x:v>
      </x:c>
      <x:c r="F7" s="7" t="n">
        <x:f>IF(D7&gt;=C7,NETWORKDAYS(C7,D7)-1,-(NETWORKDAYS(D7,C7)-1))</x:f>
        <x:v>0</x:v>
      </x:c>
      <x:c r="G7" s="8" t="n">
        <x:v>46171</x:v>
      </x:c>
      <x:c r="H7" s="9" t="n">
        <x:v>1</x:v>
      </x:c>
      <x:c r="I7" s="7" t="str">
        <x:f>IF(E7=100,"Complete",IF(C7&lt;'Overview'!B6,"Missed",IF(OR(F7&gt;0,H7&lt;0.8),"At risk","On track")))</x:f>
        <x:v>Complete</x:v>
      </x:c>
    </x:row>
    <x:row r="8" ht="34" customHeight="1">
      <x:c r="A8" s="7" t="str">
        <x:v>T011</x:v>
      </x:c>
      <x:c r="B8" s="7" t="str">
        <x:v>Power and thermal: Approval gate</x:v>
      </x:c>
      <x:c r="C8" s="8" t="n">
        <x:v>46163</x:v>
      </x:c>
      <x:c r="D8" s="8" t="n">
        <x:v>46163</x:v>
      </x:c>
      <x:c r="E8" s="7" t="n">
        <x:v>100</x:v>
      </x:c>
      <x:c r="F8" s="7" t="n">
        <x:f>IF(D8&gt;=C8,NETWORKDAYS(C8,D8)-1,-(NETWORKDAYS(D8,C8)-1))</x:f>
        <x:v>0</x:v>
      </x:c>
      <x:c r="G8" s="8" t="n">
        <x:v>46163</x:v>
      </x:c>
      <x:c r="H8" s="9" t="n">
        <x:v>1</x:v>
      </x:c>
      <x:c r="I8" s="7" t="str">
        <x:f>IF(E8=100,"Complete",IF(C8&lt;'Overview'!B6,"Missed",IF(OR(F8&gt;0,H8&lt;0.8),"At risk","On track")))</x:f>
        <x:v>Complete</x:v>
      </x:c>
    </x:row>
    <x:row r="9" ht="34" customHeight="1">
      <x:c r="A9" s="7" t="str">
        <x:v>T016</x:v>
      </x:c>
      <x:c r="B9" s="7" t="str">
        <x:v>Avionics architecture: Approval gate</x:v>
      </x:c>
      <x:c r="C9" s="8" t="n">
        <x:v>46223</x:v>
      </x:c>
      <x:c r="D9" s="8" t="n">
        <x:v>46223</x:v>
      </x:c>
      <x:c r="E9" s="7" t="n">
        <x:v>100</x:v>
      </x:c>
      <x:c r="F9" s="7" t="n">
        <x:f>IF(D9&gt;=C9,NETWORKDAYS(C9,D9)-1,-(NETWORKDAYS(D9,C9)-1))</x:f>
        <x:v>0</x:v>
      </x:c>
      <x:c r="G9" s="8" t="n">
        <x:v>46223</x:v>
      </x:c>
      <x:c r="H9" s="9" t="n">
        <x:v>1</x:v>
      </x:c>
      <x:c r="I9" s="7" t="str">
        <x:f>IF(E9=100,"Complete",IF(C9&lt;'Overview'!B6,"Missed",IF(OR(F9&gt;0,H9&lt;0.8),"At risk","On track")))</x:f>
        <x:v>Complete</x:v>
      </x:c>
    </x:row>
    <x:row r="10" ht="34" customHeight="1">
      <x:c r="A10" s="7" t="str">
        <x:v>T021</x:v>
      </x:c>
      <x:c r="B10" s="7" t="str">
        <x:v>Structural substantiation: Approval gate</x:v>
      </x:c>
      <x:c r="C10" s="8" t="n">
        <x:v>46218</x:v>
      </x:c>
      <x:c r="D10" s="8" t="n">
        <x:v>46218</x:v>
      </x:c>
      <x:c r="E10" s="7" t="n">
        <x:v>100</x:v>
      </x:c>
      <x:c r="F10" s="7" t="n">
        <x:f>IF(D10&gt;=C10,NETWORKDAYS(C10,D10)-1,-(NETWORKDAYS(D10,C10)-1))</x:f>
        <x:v>0</x:v>
      </x:c>
      <x:c r="G10" s="8" t="n">
        <x:v>46218</x:v>
      </x:c>
      <x:c r="H10" s="9" t="n">
        <x:v>1</x:v>
      </x:c>
      <x:c r="I10" s="7" t="str">
        <x:f>IF(E10=100,"Complete",IF(C10&lt;'Overview'!B6,"Missed",IF(OR(F10&gt;0,H10&lt;0.8),"At risk","On track")))</x:f>
        <x:v>Complete</x:v>
      </x:c>
    </x:row>
    <x:row r="11" ht="34" customHeight="1">
      <x:c r="A11" s="7" t="str">
        <x:v>T026</x:v>
      </x:c>
      <x:c r="B11" s="7" t="str">
        <x:v>Prototype integration: Approval gate</x:v>
      </x:c>
      <x:c r="C11" s="8" t="n">
        <x:v>46268</x:v>
      </x:c>
      <x:c r="D11" s="8" t="n">
        <x:v>46268</x:v>
      </x:c>
      <x:c r="E11" s="7" t="n">
        <x:v>100</x:v>
      </x:c>
      <x:c r="F11" s="7" t="n">
        <x:f>IF(D11&gt;=C11,NETWORKDAYS(C11,D11)-1,-(NETWORKDAYS(D11,C11)-1))</x:f>
        <x:v>0</x:v>
      </x:c>
      <x:c r="G11" s="8" t="n">
        <x:v>46268</x:v>
      </x:c>
      <x:c r="H11" s="9" t="n">
        <x:v>1</x:v>
      </x:c>
      <x:c r="I11" s="7" t="str">
        <x:f>IF(E11=100,"Complete",IF(C11&lt;'Overview'!B6,"Missed",IF(OR(F11&gt;0,H11&lt;0.8),"At risk","On track")))</x:f>
        <x:v>Complete</x:v>
      </x:c>
    </x:row>
    <x:row r="12" ht="34" customHeight="1">
      <x:c r="A12" s="7" t="str">
        <x:v>T031</x:v>
      </x:c>
      <x:c r="B12" s="7" t="str">
        <x:v>Design acceptance: Approval gate</x:v>
      </x:c>
      <x:c r="C12" s="8" t="n">
        <x:v>46268</x:v>
      </x:c>
      <x:c r="D12" s="8" t="n">
        <x:v>46268</x:v>
      </x:c>
      <x:c r="E12" s="7" t="n">
        <x:v>100</x:v>
      </x:c>
      <x:c r="F12" s="7" t="n">
        <x:f>IF(D12&gt;=C12,NETWORKDAYS(C12,D12)-1,-(NETWORKDAYS(D12,C12)-1))</x:f>
        <x:v>0</x:v>
      </x:c>
      <x:c r="G12" s="8" t="n">
        <x:v>46268</x:v>
      </x:c>
      <x:c r="H12" s="9" t="n">
        <x:v>1</x:v>
      </x:c>
      <x:c r="I12" s="7" t="str">
        <x:f>IF(E12=100,"Complete",IF(C12&lt;'Overview'!B6,"Missed",IF(OR(F12&gt;0,H12&lt;0.8),"At risk","On track")))</x:f>
        <x:v>Complete</x:v>
      </x:c>
    </x:row>
    <x:row r="13" ht="34" customHeight="1">
      <x:c r="A13" s="7" t="str">
        <x:v>T036</x:v>
      </x:c>
      <x:c r="B13" s="7" t="str">
        <x:v>Platform services: Release gate</x:v>
      </x:c>
      <x:c r="C13" s="8" t="n">
        <x:v>46218</x:v>
      </x:c>
      <x:c r="D13" s="8" t="n">
        <x:v>46218</x:v>
      </x:c>
      <x:c r="E13" s="7" t="n">
        <x:v>100</x:v>
      </x:c>
      <x:c r="F13" s="7" t="n">
        <x:f>IF(D13&gt;=C13,NETWORKDAYS(C13,D13)-1,-(NETWORKDAYS(D13,C13)-1))</x:f>
        <x:v>0</x:v>
      </x:c>
      <x:c r="G13" s="8" t="n">
        <x:v>46218</x:v>
      </x:c>
      <x:c r="H13" s="9" t="n">
        <x:v>1</x:v>
      </x:c>
      <x:c r="I13" s="7" t="str">
        <x:f>IF(E13=100,"Complete",IF(C13&lt;'Overview'!B6,"Missed",IF(OR(F13&gt;0,H13&lt;0.8),"At risk","On track")))</x:f>
        <x:v>Complete</x:v>
      </x:c>
    </x:row>
    <x:row r="14" ht="34" customHeight="1">
      <x:c r="A14" s="7" t="str">
        <x:v>T041</x:v>
      </x:c>
      <x:c r="B14" s="7" t="str">
        <x:v>Telemetry collection: Release gate</x:v>
      </x:c>
      <x:c r="C14" s="8" t="n">
        <x:v>46213</x:v>
      </x:c>
      <x:c r="D14" s="8" t="n">
        <x:v>46213</x:v>
      </x:c>
      <x:c r="E14" s="7" t="n">
        <x:v>100</x:v>
      </x:c>
      <x:c r="F14" s="7" t="n">
        <x:f>IF(D14&gt;=C14,NETWORKDAYS(C14,D14)-1,-(NETWORKDAYS(D14,C14)-1))</x:f>
        <x:v>0</x:v>
      </x:c>
      <x:c r="G14" s="8" t="n">
        <x:v>46213</x:v>
      </x:c>
      <x:c r="H14" s="9" t="n">
        <x:v>1</x:v>
      </x:c>
      <x:c r="I14" s="7" t="str">
        <x:f>IF(E14=100,"Complete",IF(C14&lt;'Overview'!B6,"Missed",IF(OR(F14&gt;0,H14&lt;0.8),"At risk","On track")))</x:f>
        <x:v>Complete</x:v>
      </x:c>
    </x:row>
    <x:row r="15" ht="34" customHeight="1">
      <x:c r="A15" s="7" t="str">
        <x:v>T046</x:v>
      </x:c>
      <x:c r="B15" s="7" t="str">
        <x:v>Health monitoring: Release gate</x:v>
      </x:c>
      <x:c r="C15" s="8" t="n">
        <x:v>46273</x:v>
      </x:c>
      <x:c r="D15" s="8" t="n">
        <x:v>46273</x:v>
      </x:c>
      <x:c r="E15" s="7" t="n">
        <x:v>100</x:v>
      </x:c>
      <x:c r="F15" s="7" t="n">
        <x:f>IF(D15&gt;=C15,NETWORKDAYS(C15,D15)-1,-(NETWORKDAYS(D15,C15)-1))</x:f>
        <x:v>0</x:v>
      </x:c>
      <x:c r="G15" s="8" t="n">
        <x:v>46273</x:v>
      </x:c>
      <x:c r="H15" s="9" t="n">
        <x:v>1</x:v>
      </x:c>
      <x:c r="I15" s="7" t="str">
        <x:f>IF(E15=100,"Complete",IF(C15&lt;'Overview'!B6,"Missed",IF(OR(F15&gt;0,H15&lt;0.8),"At risk","On track")))</x:f>
        <x:v>Complete</x:v>
      </x:c>
    </x:row>
    <x:row r="16" ht="34" customHeight="1">
      <x:c r="A16" s="7" t="str">
        <x:v>T051</x:v>
      </x:c>
      <x:c r="B16" s="7" t="str">
        <x:v>Operator interface: Release gate</x:v>
      </x:c>
      <x:c r="C16" s="8" t="n">
        <x:v>46260</x:v>
      </x:c>
      <x:c r="D16" s="8" t="n">
        <x:v>46260</x:v>
      </x:c>
      <x:c r="E16" s="7" t="n">
        <x:v>100</x:v>
      </x:c>
      <x:c r="F16" s="7" t="n">
        <x:f>IF(D16&gt;=C16,NETWORKDAYS(C16,D16)-1,-(NETWORKDAYS(D16,C16)-1))</x:f>
        <x:v>0</x:v>
      </x:c>
      <x:c r="G16" s="8" t="n">
        <x:v>46260</x:v>
      </x:c>
      <x:c r="H16" s="9" t="n">
        <x:v>1</x:v>
      </x:c>
      <x:c r="I16" s="7" t="str">
        <x:f>IF(E16=100,"Complete",IF(C16&lt;'Overview'!B6,"Missed",IF(OR(F16&gt;0,H16&lt;0.8),"At risk","On track")))</x:f>
        <x:v>Complete</x:v>
      </x:c>
    </x:row>
    <x:row r="17" ht="34" customHeight="1">
      <x:c r="A17" s="7" t="str">
        <x:v>T056</x:v>
      </x:c>
      <x:c r="B17" s="7" t="str">
        <x:v>Integration build: Release gate</x:v>
      </x:c>
      <x:c r="C17" s="8" t="n">
        <x:v>46323</x:v>
      </x:c>
      <x:c r="D17" s="8" t="n">
        <x:v>46323</x:v>
      </x:c>
      <x:c r="E17" s="7" t="n">
        <x:v>0</x:v>
      </x:c>
      <x:c r="F17" s="7" t="n">
        <x:f>IF(D17&gt;=C17,NETWORKDAYS(C17,D17)-1,-(NETWORKDAYS(D17,C17)-1))</x:f>
        <x:v>0</x:v>
      </x:c>
      <x:c r="G17" s="8" t="n">
        <x:v>46328</x:v>
      </x:c>
      <x:c r="H17" s="9" t="n">
        <x:v>0.2538</x:v>
      </x:c>
      <x:c r="I17" s="7" t="str">
        <x:f>IF(E17=100,"Complete",IF(C17&lt;'Overview'!B6,"Missed",IF(OR(F17&gt;0,H17&lt;0.8),"At risk","On track")))</x:f>
        <x:v>At risk</x:v>
      </x:c>
    </x:row>
    <x:row r="18" ht="34" customHeight="1">
      <x:c r="A18" s="7" t="str">
        <x:v>T061</x:v>
      </x:c>
      <x:c r="B18" s="7" t="str">
        <x:v>Release qualification: Release gate</x:v>
      </x:c>
      <x:c r="C18" s="8" t="n">
        <x:v>46315</x:v>
      </x:c>
      <x:c r="D18" s="8" t="n">
        <x:v>46349</x:v>
      </x:c>
      <x:c r="E18" s="7" t="n">
        <x:v>0</x:v>
      </x:c>
      <x:c r="F18" s="7" t="n">
        <x:f>IF(D18&gt;=C18,NETWORKDAYS(C18,D18)-1,-(NETWORKDAYS(D18,C18)-1))</x:f>
        <x:v>24</x:v>
      </x:c>
      <x:c r="G18" s="8" t="n">
        <x:v>46353</x:v>
      </x:c>
      <x:c r="H18" s="9" t="n">
        <x:v>0</x:v>
      </x:c>
      <x:c r="I18" s="7" t="str">
        <x:f>IF(E18=100,"Complete",IF(C18&lt;'Overview'!B6,"Missed",IF(OR(F18&gt;0,H18&lt;0.8),"At risk","On track")))</x:f>
        <x:v>At risk</x:v>
      </x:c>
    </x:row>
    <x:row r="19" ht="34" customHeight="1">
      <x:c r="A19" s="7" t="str">
        <x:v>T066</x:v>
      </x:c>
      <x:c r="B19" s="7" t="str">
        <x:v>Supplier qualification: Readiness gate</x:v>
      </x:c>
      <x:c r="C19" s="8" t="n">
        <x:v>46168</x:v>
      </x:c>
      <x:c r="D19" s="8" t="n">
        <x:v>46168</x:v>
      </x:c>
      <x:c r="E19" s="7" t="n">
        <x:v>100</x:v>
      </x:c>
      <x:c r="F19" s="7" t="n">
        <x:f>IF(D19&gt;=C19,NETWORKDAYS(C19,D19)-1,-(NETWORKDAYS(D19,C19)-1))</x:f>
        <x:v>0</x:v>
      </x:c>
      <x:c r="G19" s="8" t="n">
        <x:v>46168</x:v>
      </x:c>
      <x:c r="H19" s="9" t="n">
        <x:v>1</x:v>
      </x:c>
      <x:c r="I19" s="7" t="str">
        <x:f>IF(E19=100,"Complete",IF(C19&lt;'Overview'!B6,"Missed",IF(OR(F19&gt;0,H19&lt;0.8),"At risk","On track")))</x:f>
        <x:v>Complete</x:v>
      </x:c>
    </x:row>
    <x:row r="20" ht="34" customHeight="1">
      <x:c r="A20" s="7" t="str">
        <x:v>T071</x:v>
      </x:c>
      <x:c r="B20" s="7" t="str">
        <x:v>Long lead procurement: Readiness gate</x:v>
      </x:c>
      <x:c r="C20" s="8" t="n">
        <x:v>46171</x:v>
      </x:c>
      <x:c r="D20" s="8" t="n">
        <x:v>46217</x:v>
      </x:c>
      <x:c r="E20" s="7" t="n">
        <x:v>100</x:v>
      </x:c>
      <x:c r="F20" s="7" t="n">
        <x:f>IF(D20&gt;=C20,NETWORKDAYS(C20,D20)-1,-(NETWORKDAYS(D20,C20)-1))</x:f>
        <x:v>32</x:v>
      </x:c>
      <x:c r="G20" s="8" t="n">
        <x:v>46217</x:v>
      </x:c>
      <x:c r="H20" s="9" t="n">
        <x:v>0</x:v>
      </x:c>
      <x:c r="I20" s="7" t="str">
        <x:f>IF(E20=100,"Complete",IF(C20&lt;'Overview'!B6,"Missed",IF(OR(F20&gt;0,H20&lt;0.8),"At risk","On track")))</x:f>
        <x:v>Complete</x:v>
      </x:c>
    </x:row>
    <x:row r="21" ht="34" customHeight="1">
      <x:c r="A21" s="7" t="str">
        <x:v>T076</x:v>
      </x:c>
      <x:c r="B21" s="7" t="str">
        <x:v>Spares provisioning: Readiness gate</x:v>
      </x:c>
      <x:c r="C21" s="8" t="n">
        <x:v>46213</x:v>
      </x:c>
      <x:c r="D21" s="8" t="n">
        <x:v>46213</x:v>
      </x:c>
      <x:c r="E21" s="7" t="n">
        <x:v>100</x:v>
      </x:c>
      <x:c r="F21" s="7" t="n">
        <x:f>IF(D21&gt;=C21,NETWORKDAYS(C21,D21)-1,-(NETWORKDAYS(D21,C21)-1))</x:f>
        <x:v>0</x:v>
      </x:c>
      <x:c r="G21" s="8" t="n">
        <x:v>46213</x:v>
      </x:c>
      <x:c r="H21" s="9" t="n">
        <x:v>1</x:v>
      </x:c>
      <x:c r="I21" s="7" t="str">
        <x:f>IF(E21=100,"Complete",IF(C21&lt;'Overview'!B6,"Missed",IF(OR(F21&gt;0,H21&lt;0.8),"At risk","On track")))</x:f>
        <x:v>Complete</x:v>
      </x:c>
    </x:row>
    <x:row r="22" ht="34" customHeight="1">
      <x:c r="A22" s="7" t="str">
        <x:v>T081</x:v>
      </x:c>
      <x:c r="B22" s="7" t="str">
        <x:v>Maintenance planning: Readiness gate</x:v>
      </x:c>
      <x:c r="C22" s="8" t="n">
        <x:v>46223</x:v>
      </x:c>
      <x:c r="D22" s="8" t="n">
        <x:v>46267</x:v>
      </x:c>
      <x:c r="E22" s="7" t="n">
        <x:v>100</x:v>
      </x:c>
      <x:c r="F22" s="7" t="n">
        <x:f>IF(D22&gt;=C22,NETWORKDAYS(C22,D22)-1,-(NETWORKDAYS(D22,C22)-1))</x:f>
        <x:v>32</x:v>
      </x:c>
      <x:c r="G22" s="8" t="n">
        <x:v>46267</x:v>
      </x:c>
      <x:c r="H22" s="9" t="n">
        <x:v>0</x:v>
      </x:c>
      <x:c r="I22" s="7" t="str">
        <x:f>IF(E22=100,"Complete",IF(C22&lt;'Overview'!B6,"Missed",IF(OR(F22&gt;0,H22&lt;0.8),"At risk","On track")))</x:f>
        <x:v>Complete</x:v>
      </x:c>
    </x:row>
    <x:row r="23" ht="34" customHeight="1">
      <x:c r="A23" s="7" t="str">
        <x:v>T086</x:v>
      </x:c>
      <x:c r="B23" s="7" t="str">
        <x:v>Training development: Readiness gate</x:v>
      </x:c>
      <x:c r="C23" s="8" t="n">
        <x:v>46268</x:v>
      </x:c>
      <x:c r="D23" s="8" t="n">
        <x:v>46268</x:v>
      </x:c>
      <x:c r="E23" s="7" t="n">
        <x:v>100</x:v>
      </x:c>
      <x:c r="F23" s="7" t="n">
        <x:f>IF(D23&gt;=C23,NETWORKDAYS(C23,D23)-1,-(NETWORKDAYS(D23,C23)-1))</x:f>
        <x:v>0</x:v>
      </x:c>
      <x:c r="G23" s="8" t="n">
        <x:v>46268</x:v>
      </x:c>
      <x:c r="H23" s="9" t="n">
        <x:v>1</x:v>
      </x:c>
      <x:c r="I23" s="7" t="str">
        <x:f>IF(E23=100,"Complete",IF(C23&lt;'Overview'!B6,"Missed",IF(OR(F23&gt;0,H23&lt;0.8),"At risk","On track")))</x:f>
        <x:v>Complete</x:v>
      </x:c>
    </x:row>
    <x:row r="24" ht="34" customHeight="1">
      <x:c r="A24" s="7" t="str">
        <x:v>T091</x:v>
      </x:c>
      <x:c r="B24" s="7" t="str">
        <x:v>Support readiness: Readiness gate</x:v>
      </x:c>
      <x:c r="C24" s="8" t="n">
        <x:v>46268</x:v>
      </x:c>
      <x:c r="D24" s="8" t="n">
        <x:v>46314</x:v>
      </x:c>
      <x:c r="E24" s="7" t="n">
        <x:v>0</x:v>
      </x:c>
      <x:c r="F24" s="7" t="n">
        <x:f>IF(D24&gt;=C24,NETWORKDAYS(C24,D24)-1,-(NETWORKDAYS(D24,C24)-1))</x:f>
        <x:v>32</x:v>
      </x:c>
      <x:c r="G24" s="8" t="n">
        <x:v>46316</x:v>
      </x:c>
      <x:c r="H24" s="9" t="n">
        <x:v>0</x:v>
      </x:c>
      <x:c r="I24" s="7" t="str">
        <x:f>IF(E24=100,"Complete",IF(C24&lt;'Overview'!B6,"Missed",IF(OR(F24&gt;0,H24&lt;0.8),"At risk","On track")))</x:f>
        <x:v>Missed</x:v>
      </x:c>
    </x:row>
    <x:row r="25" ht="34" customHeight="1">
      <x:c r="A25" s="7" t="str">
        <x:v>T096</x:v>
      </x:c>
      <x:c r="B25" s="7" t="str">
        <x:v>Bench verification: Evidence gate</x:v>
      </x:c>
      <x:c r="C25" s="8" t="n">
        <x:v>46378</x:v>
      </x:c>
      <x:c r="D25" s="8" t="n">
        <x:v>46402</x:v>
      </x:c>
      <x:c r="E25" s="7" t="n">
        <x:v>0</x:v>
      </x:c>
      <x:c r="F25" s="7" t="n">
        <x:f>IF(D25&gt;=C25,NETWORKDAYS(C25,D25)-1,-(NETWORKDAYS(D25,C25)-1))</x:f>
        <x:v>18</x:v>
      </x:c>
      <x:c r="G25" s="8" t="n">
        <x:v>46412</x:v>
      </x:c>
      <x:c r="H25" s="9" t="n">
        <x:v>0</x:v>
      </x:c>
      <x:c r="I25" s="7" t="str">
        <x:f>IF(E25=100,"Complete",IF(C25&lt;'Overview'!B6,"Missed",IF(OR(F25&gt;0,H25&lt;0.8),"At risk","On track")))</x:f>
        <x:v>At risk</x:v>
      </x:c>
    </x:row>
    <x:row r="26" ht="34" customHeight="1">
      <x:c r="A26" s="7" t="str">
        <x:v>T101</x:v>
      </x:c>
      <x:c r="B26" s="7" t="str">
        <x:v>Environmental qualification: Evidence gate</x:v>
      </x:c>
      <x:c r="C26" s="8" t="n">
        <x:v>46370</x:v>
      </x:c>
      <x:c r="D26" s="8" t="n">
        <x:v>46394</x:v>
      </x:c>
      <x:c r="E26" s="7" t="n">
        <x:v>0</x:v>
      </x:c>
      <x:c r="F26" s="7" t="n">
        <x:f>IF(D26&gt;=C26,NETWORKDAYS(C26,D26)-1,-(NETWORKDAYS(D26,C26)-1))</x:f>
        <x:v>18</x:v>
      </x:c>
      <x:c r="G26" s="8" t="n">
        <x:v>46405</x:v>
      </x:c>
      <x:c r="H26" s="9" t="n">
        <x:v>0</x:v>
      </x:c>
      <x:c r="I26" s="7" t="str">
        <x:f>IF(E26=100,"Complete",IF(C26&lt;'Overview'!B6,"Missed",IF(OR(F26&gt;0,H26&lt;0.8),"At risk","On track")))</x:f>
        <x:v>At risk</x:v>
      </x:c>
    </x:row>
    <x:row r="27" ht="34" customHeight="1">
      <x:c r="A27" s="7" t="str">
        <x:v>T106</x:v>
      </x:c>
      <x:c r="B27" s="7" t="str">
        <x:v>Ground integration: Evidence gate</x:v>
      </x:c>
      <x:c r="C27" s="8" t="n">
        <x:v>46428</x:v>
      </x:c>
      <x:c r="D27" s="8" t="n">
        <x:v>46454</x:v>
      </x:c>
      <x:c r="E27" s="7" t="n">
        <x:v>0</x:v>
      </x:c>
      <x:c r="F27" s="7" t="n">
        <x:f>IF(D27&gt;=C27,NETWORKDAYS(C27,D27)-1,-(NETWORKDAYS(D27,C27)-1))</x:f>
        <x:v>18</x:v>
      </x:c>
      <x:c r="G27" s="8" t="n">
        <x:v>46464</x:v>
      </x:c>
      <x:c r="H27" s="9" t="n">
        <x:v>0</x:v>
      </x:c>
      <x:c r="I27" s="7" t="str">
        <x:f>IF(E27=100,"Complete",IF(C27&lt;'Overview'!B6,"Missed",IF(OR(F27&gt;0,H27&lt;0.8),"At risk","On track")))</x:f>
        <x:v>At risk</x:v>
      </x:c>
    </x:row>
    <x:row r="28" ht="34" customHeight="1">
      <x:c r="A28" s="7" t="str">
        <x:v>T111</x:v>
      </x:c>
      <x:c r="B28" s="7" t="str">
        <x:v>Taxi readiness: Evidence gate</x:v>
      </x:c>
      <x:c r="C28" s="8" t="n">
        <x:v>46423</x:v>
      </x:c>
      <x:c r="D28" s="8" t="n">
        <x:v>46449</x:v>
      </x:c>
      <x:c r="E28" s="7" t="n">
        <x:v>0</x:v>
      </x:c>
      <x:c r="F28" s="7" t="n">
        <x:f>IF(D28&gt;=C28,NETWORKDAYS(C28,D28)-1,-(NETWORKDAYS(D28,C28)-1))</x:f>
        <x:v>18</x:v>
      </x:c>
      <x:c r="G28" s="8" t="n">
        <x:v>46462</x:v>
      </x:c>
      <x:c r="H28" s="9" t="n">
        <x:v>0</x:v>
      </x:c>
      <x:c r="I28" s="7" t="str">
        <x:f>IF(E28=100,"Complete",IF(C28&lt;'Overview'!B6,"Missed",IF(OR(F28&gt;0,H28&lt;0.8),"At risk","On track")))</x:f>
        <x:v>At risk</x:v>
      </x:c>
    </x:row>
    <x:row r="29" ht="34" customHeight="1">
      <x:c r="A29" s="7" t="str">
        <x:v>T116</x:v>
      </x:c>
      <x:c r="B29" s="7" t="str">
        <x:v>Flight research campaign: Evidence gate</x:v>
      </x:c>
      <x:c r="C29" s="8" t="n">
        <x:v>46475</x:v>
      </x:c>
      <x:c r="D29" s="8" t="n">
        <x:v>46499</x:v>
      </x:c>
      <x:c r="E29" s="7" t="n">
        <x:v>0</x:v>
      </x:c>
      <x:c r="F29" s="7" t="n">
        <x:f>IF(D29&gt;=C29,NETWORKDAYS(C29,D29)-1,-(NETWORKDAYS(D29,C29)-1))</x:f>
        <x:v>18</x:v>
      </x:c>
      <x:c r="G29" s="8" t="n">
        <x:v>46512</x:v>
      </x:c>
      <x:c r="H29" s="9" t="n">
        <x:v>0</x:v>
      </x:c>
      <x:c r="I29" s="7" t="str">
        <x:f>IF(E29=100,"Complete",IF(C29&lt;'Overview'!B6,"Missed",IF(OR(F29&gt;0,H29&lt;0.8),"At risk","On track")))</x:f>
        <x:v>At risk</x:v>
      </x:c>
    </x:row>
    <x:row r="30" ht="34" customHeight="1">
      <x:c r="A30" s="7" t="str">
        <x:v>T121</x:v>
      </x:c>
      <x:c r="B30" s="7" t="str">
        <x:v>Test evidence closure: Evidence gate</x:v>
      </x:c>
      <x:c r="C30" s="8" t="n">
        <x:v>46475</x:v>
      </x:c>
      <x:c r="D30" s="8" t="n">
        <x:v>46499</x:v>
      </x:c>
      <x:c r="E30" s="7" t="n">
        <x:v>0</x:v>
      </x:c>
      <x:c r="F30" s="7" t="n">
        <x:f>IF(D30&gt;=C30,NETWORKDAYS(C30,D30)-1,-(NETWORKDAYS(D30,C30)-1))</x:f>
        <x:v>18</x:v>
      </x:c>
      <x:c r="G30" s="8" t="n">
        <x:v>46513</x:v>
      </x:c>
      <x:c r="H30" s="9" t="n">
        <x:v>0</x:v>
      </x:c>
      <x:c r="I30" s="7" t="str">
        <x:f>IF(E30=100,"Complete",IF(C30&lt;'Overview'!B6,"Missed",IF(OR(F30&gt;0,H30&lt;0.8),"At risk","On track")))</x:f>
        <x:v>At risk</x:v>
      </x:c>
    </x:row>
    <x:row r="31" ht="34" customHeight="1">
      <x:c r="A31" s="7" t="str">
        <x:v>T126</x:v>
      </x:c>
      <x:c r="B31" s="7" t="str">
        <x:v>Configuration freeze: Acceptance gate</x:v>
      </x:c>
      <x:c r="C31" s="8" t="n">
        <x:v>46520</x:v>
      </x:c>
      <x:c r="D31" s="8" t="n">
        <x:v>46546</x:v>
      </x:c>
      <x:c r="E31" s="7" t="n">
        <x:v>0</x:v>
      </x:c>
      <x:c r="F31" s="7" t="n">
        <x:f>IF(D31&gt;=C31,NETWORKDAYS(C31,D31)-1,-(NETWORKDAYS(D31,C31)-1))</x:f>
        <x:v>18</x:v>
      </x:c>
      <x:c r="G31" s="8" t="n">
        <x:v>46563</x:v>
      </x:c>
      <x:c r="H31" s="9" t="n">
        <x:v>0</x:v>
      </x:c>
      <x:c r="I31" s="7" t="str">
        <x:f>IF(E31=100,"Complete",IF(C31&lt;'Overview'!B6,"Missed",IF(OR(F31&gt;0,H31&lt;0.8),"At risk","On track")))</x:f>
        <x:v>At risk</x:v>
      </x:c>
    </x:row>
    <x:row r="32" ht="34" customHeight="1">
      <x:c r="A32" s="7" t="str">
        <x:v>T131</x:v>
      </x:c>
      <x:c r="B32" s="7" t="str">
        <x:v>Documentation release: Acceptance gate</x:v>
      </x:c>
      <x:c r="C32" s="8" t="n">
        <x:v>46525</x:v>
      </x:c>
      <x:c r="D32" s="8" t="n">
        <x:v>46549</x:v>
      </x:c>
      <x:c r="E32" s="7" t="n">
        <x:v>0</x:v>
      </x:c>
      <x:c r="F32" s="7" t="n">
        <x:f>IF(D32&gt;=C32,NETWORKDAYS(C32,D32)-1,-(NETWORKDAYS(D32,C32)-1))</x:f>
        <x:v>18</x:v>
      </x:c>
      <x:c r="G32" s="8" t="n">
        <x:v>46568</x:v>
      </x:c>
      <x:c r="H32" s="9" t="n">
        <x:v>0</x:v>
      </x:c>
      <x:c r="I32" s="7" t="str">
        <x:f>IF(E32=100,"Complete",IF(C32&lt;'Overview'!B6,"Missed",IF(OR(F32&gt;0,H32&lt;0.8),"At risk","On track")))</x:f>
        <x:v>At risk</x:v>
      </x:c>
    </x:row>
    <x:row r="33" ht="34" customHeight="1">
      <x:c r="A33" s="7" t="str">
        <x:v>T136</x:v>
      </x:c>
      <x:c r="B33" s="7" t="str">
        <x:v>Acceptance inspection: Acceptance gate</x:v>
      </x:c>
      <x:c r="C33" s="8" t="n">
        <x:v>46575</x:v>
      </x:c>
      <x:c r="D33" s="8" t="n">
        <x:v>46601</x:v>
      </x:c>
      <x:c r="E33" s="7" t="n">
        <x:v>0</x:v>
      </x:c>
      <x:c r="F33" s="7" t="n">
        <x:f>IF(D33&gt;=C33,NETWORKDAYS(C33,D33)-1,-(NETWORKDAYS(D33,C33)-1))</x:f>
        <x:v>18</x:v>
      </x:c>
      <x:c r="G33" s="8" t="n">
        <x:v>46619</x:v>
      </x:c>
      <x:c r="H33" s="9" t="n">
        <x:v>0</x:v>
      </x:c>
      <x:c r="I33" s="7" t="str">
        <x:f>IF(E33=100,"Complete",IF(C33&lt;'Overview'!B6,"Missed",IF(OR(F33&gt;0,H33&lt;0.8),"At risk","On track")))</x:f>
        <x:v>At risk</x:v>
      </x:c>
    </x:row>
    <x:row r="34" ht="34" customHeight="1">
      <x:c r="A34" s="7" t="str">
        <x:v>T141</x:v>
      </x:c>
      <x:c r="B34" s="7" t="str">
        <x:v>Operator training: Acceptance gate</x:v>
      </x:c>
      <x:c r="C34" s="8" t="n">
        <x:v>46570</x:v>
      </x:c>
      <x:c r="D34" s="8" t="n">
        <x:v>46596</x:v>
      </x:c>
      <x:c r="E34" s="7" t="n">
        <x:v>0</x:v>
      </x:c>
      <x:c r="F34" s="7" t="n">
        <x:f>IF(D34&gt;=C34,NETWORKDAYS(C34,D34)-1,-(NETWORKDAYS(D34,C34)-1))</x:f>
        <x:v>18</x:v>
      </x:c>
      <x:c r="G34" s="8" t="n">
        <x:v>46616</x:v>
      </x:c>
      <x:c r="H34" s="9" t="n">
        <x:v>0</x:v>
      </x:c>
      <x:c r="I34" s="7" t="str">
        <x:f>IF(E34=100,"Complete",IF(C34&lt;'Overview'!B6,"Missed",IF(OR(F34&gt;0,H34&lt;0.8),"At risk","On track")))</x:f>
        <x:v>At risk</x:v>
      </x:c>
    </x:row>
    <x:row r="35" ht="34" customHeight="1">
      <x:c r="A35" s="7" t="str">
        <x:v>T146</x:v>
      </x:c>
      <x:c r="B35" s="7" t="str">
        <x:v>Transfer preparation: Acceptance gate</x:v>
      </x:c>
      <x:c r="C35" s="8" t="n">
        <x:v>46625</x:v>
      </x:c>
      <x:c r="D35" s="8" t="n">
        <x:v>46651</x:v>
      </x:c>
      <x:c r="E35" s="7" t="n">
        <x:v>0</x:v>
      </x:c>
      <x:c r="F35" s="7" t="n">
        <x:f>IF(D35&gt;=C35,NETWORKDAYS(C35,D35)-1,-(NETWORKDAYS(D35,C35)-1))</x:f>
        <x:v>18</x:v>
      </x:c>
      <x:c r="G35" s="8" t="n">
        <x:v>46673</x:v>
      </x:c>
      <x:c r="H35" s="9" t="n">
        <x:v>0</x:v>
      </x:c>
      <x:c r="I35" s="7" t="str">
        <x:f>IF(E35=100,"Complete",IF(C35&lt;'Overview'!B6,"Missed",IF(OR(F35&gt;0,H35&lt;0.8),"At risk","On track")))</x:f>
        <x:v>At risk</x:v>
      </x:c>
    </x:row>
    <x:row r="36" ht="34" customHeight="1">
      <x:c r="A36" s="7" t="str">
        <x:v>T151</x:v>
      </x:c>
      <x:c r="B36" s="7" t="str">
        <x:v>Program closeout: Acceptance gate</x:v>
      </x:c>
      <x:c r="C36" s="8" t="n">
        <x:v>46625</x:v>
      </x:c>
      <x:c r="D36" s="8" t="n">
        <x:v>46651</x:v>
      </x:c>
      <x:c r="E36" s="7" t="n">
        <x:v>0</x:v>
      </x:c>
      <x:c r="F36" s="7" t="n">
        <x:f>IF(D36&gt;=C36,NETWORKDAYS(C36,D36)-1,-(NETWORKDAYS(D36,C36)-1))</x:f>
        <x:v>18</x:v>
      </x:c>
      <x:c r="G36" s="8" t="n">
        <x:v>46673</x:v>
      </x:c>
      <x:c r="H36" s="9" t="n">
        <x:v>0</x:v>
      </x:c>
      <x:c r="I36" s="7" t="str">
        <x:f>IF(E36=100,"Complete",IF(C36&lt;'Overview'!B6,"Missed",IF(OR(F36&gt;0,H36&lt;0.8),"At risk","On track")))</x:f>
        <x:v>At risk</x:v>
      </x:c>
    </x:row>
    <x:row r="37" ht="34" customHeight="1">
      <x:c r="A37" s="7" t="str">
        <x:v>T152</x:v>
      </x:c>
      <x:c r="B37" s="7" t="str">
        <x:v>Final demonstrator acceptance</x:v>
      </x:c>
      <x:c r="C37" s="8" t="n">
        <x:v>46625</x:v>
      </x:c>
      <x:c r="D37" s="8" t="n">
        <x:v>46651</x:v>
      </x:c>
      <x:c r="E37" s="7" t="n">
        <x:v>0</x:v>
      </x:c>
      <x:c r="F37" s="7" t="n">
        <x:f>IF(D37&gt;=C37,NETWORKDAYS(C37,D37)-1,-(NETWORKDAYS(D37,C37)-1))</x:f>
        <x:v>18</x:v>
      </x:c>
      <x:c r="G37" s="8" t="n">
        <x:v>46674</x:v>
      </x:c>
      <x:c r="H37" s="9" t="n">
        <x:v>0</x:v>
      </x:c>
      <x:c r="I37" s="7" t="str">
        <x:f>IF(E37=100,"Complete",IF(C37&lt;'Overview'!B6,"Missed",IF(OR(F37&gt;0,H37&lt;0.8),"At risk","On track")))</x:f>
        <x:v>At risk</x:v>
      </x:c>
    </x:row>
  </x:sheetData>
  <x:conditionalFormatting sqref="F6:F37">
    <x:cfRule type="cellIs" dxfId="0" priority="1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85a721afb24e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9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6" hidden="0" customWidth="1"/>
    <x:col min="9" max="9" width="21" hidden="0" customWidth="1"/>
    <x:col min="10" max="10" width="67" hidden="0" customWidth="1"/>
    <x:col min="11" max="11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Risk register and expected impact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Fictional, unclassified. Status 18 Sep 2026. Derived forecast/SRA fields are Python snapshots.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6" t="str">
        <x:v>Risk</x:v>
      </x:c>
      <x:c r="B5" s="6" t="str">
        <x:v>Title</x:v>
      </x:c>
      <x:c r="C5" s="6" t="str">
        <x:v>Probability</x:v>
      </x:c>
      <x:c r="D5" s="6" t="str">
        <x:v>Low days</x:v>
      </x:c>
      <x:c r="E5" s="6" t="str">
        <x:v>Mode days</x:v>
      </x:c>
      <x:c r="F5" s="6" t="str">
        <x:v>High days</x:v>
      </x:c>
      <x:c r="G5" s="6" t="str">
        <x:v>Expected days</x:v>
      </x:c>
      <x:c r="H5" s="6" t="str">
        <x:v>Affected task</x:v>
      </x:c>
      <x:c r="I5" s="6" t="str">
        <x:v>Owner</x:v>
      </x:c>
      <x:c r="J5" s="6" t="str">
        <x:v>Mitigation</x:v>
      </x:c>
      <x:c r="K5" s="6" t="str">
        <x:v>Status</x:v>
      </x:c>
    </x:row>
    <x:row r="6" ht="34" customHeight="1">
      <x:c r="A6" s="7" t="str">
        <x:v>RISK-01</x:v>
      </x:c>
      <x:c r="B6" s="7" t="str">
        <x:v>Avionics interface rework</x:v>
      </x:c>
      <x:c r="C6" s="12" t="n">
        <x:v>0.35</x:v>
      </x:c>
      <x:c r="D6" s="13" t="n">
        <x:v>8</x:v>
      </x:c>
      <x:c r="E6" s="13" t="n">
        <x:v>16</x:v>
      </x:c>
      <x:c r="F6" s="13" t="n">
        <x:v>30</x:v>
      </x:c>
      <x:c r="G6" s="11" t="n">
        <x:f>C6*AVERAGE(D6:F6)</x:f>
        <x:v>6.3</x:v>
      </x:c>
      <x:c r="H6" s="7" t="str">
        <x:v>T047</x:v>
      </x:c>
      <x:c r="I6" s="7" t="str">
        <x:v>Software lead</x:v>
      </x:c>
      <x:c r="J6" s="7" t="str">
        <x:v>Freeze interfaces and hold weekly integration reviews</x:v>
      </x:c>
      <x:c r="K6" s="7" t="str">
        <x:v>Open</x:v>
      </x:c>
    </x:row>
    <x:row r="7" ht="34" customHeight="1">
      <x:c r="A7" s="7" t="str">
        <x:v>RISK-02</x:v>
      </x:c>
      <x:c r="B7" s="7" t="str">
        <x:v>Environmental retest</x:v>
      </x:c>
      <x:c r="C7" s="12" t="n">
        <x:v>0.3</x:v>
      </x:c>
      <x:c r="D7" s="13" t="n">
        <x:v>10</x:v>
      </x:c>
      <x:c r="E7" s="13" t="n">
        <x:v>20</x:v>
      </x:c>
      <x:c r="F7" s="13" t="n">
        <x:v>35</x:v>
      </x:c>
      <x:c r="G7" s="11" t="n">
        <x:f>C7*AVERAGE(D7:F7)</x:f>
        <x:v>6.5</x:v>
      </x:c>
      <x:c r="H7" s="7" t="str">
        <x:v>T097</x:v>
      </x:c>
      <x:c r="I7" s="7" t="str">
        <x:v>Test lead</x:v>
      </x:c>
      <x:c r="J7" s="7" t="str">
        <x:v>Run prequalification screening before chamber booking</x:v>
      </x:c>
      <x:c r="K7" s="7" t="str">
        <x:v>Open</x:v>
      </x:c>
    </x:row>
    <x:row r="8" ht="34" customHeight="1">
      <x:c r="A8" s="7" t="str">
        <x:v>RISK-03</x:v>
      </x:c>
      <x:c r="B8" s="7" t="str">
        <x:v>Instrument delivery delay</x:v>
      </x:c>
      <x:c r="C8" s="12" t="n">
        <x:v>0.25</x:v>
      </x:c>
      <x:c r="D8" s="13" t="n">
        <x:v>8</x:v>
      </x:c>
      <x:c r="E8" s="13" t="n">
        <x:v>15</x:v>
      </x:c>
      <x:c r="F8" s="13" t="n">
        <x:v>25</x:v>
      </x:c>
      <x:c r="G8" s="11" t="n">
        <x:f>C8*AVERAGE(D8:F8)</x:f>
        <x:v>4</x:v>
      </x:c>
      <x:c r="H8" s="7" t="str">
        <x:v>T092</x:v>
      </x:c>
      <x:c r="I8" s="7" t="str">
        <x:v>Supply lead</x:v>
      </x:c>
      <x:c r="J8" s="7" t="str">
        <x:v>Qualify an alternate supplier</x:v>
      </x:c>
      <x:c r="K8" s="7" t="str">
        <x:v>Open</x:v>
      </x:c>
    </x:row>
    <x:row r="9" ht="34" customHeight="1">
      <x:c r="A9" s="7" t="str">
        <x:v>RISK-04</x:v>
      </x:c>
      <x:c r="B9" s="7" t="str">
        <x:v>Ground test discrepancy</x:v>
      </x:c>
      <x:c r="C9" s="12" t="n">
        <x:v>0.4</x:v>
      </x:c>
      <x:c r="D9" s="13" t="n">
        <x:v>5</x:v>
      </x:c>
      <x:c r="E9" s="13" t="n">
        <x:v>12</x:v>
      </x:c>
      <x:c r="F9" s="13" t="n">
        <x:v>22</x:v>
      </x:c>
      <x:c r="G9" s="11" t="n">
        <x:f>C9*AVERAGE(D9:F9)</x:f>
        <x:v>5.2</x:v>
      </x:c>
      <x:c r="H9" s="7" t="str">
        <x:v>T102</x:v>
      </x:c>
      <x:c r="I9" s="7" t="str">
        <x:v>Test lead</x:v>
      </x:c>
      <x:c r="J9" s="7" t="str">
        <x:v>Add an early dry run</x:v>
      </x:c>
      <x:c r="K9" s="7" t="str">
        <x:v>Open</x:v>
      </x:c>
    </x:row>
    <x:row r="10" ht="34" customHeight="1">
      <x:c r="A10" s="7" t="str">
        <x:v>RISK-05</x:v>
      </x:c>
      <x:c r="B10" s="7" t="str">
        <x:v>Review team congestion</x:v>
      </x:c>
      <x:c r="C10" s="12" t="n">
        <x:v>0.4</x:v>
      </x:c>
      <x:c r="D10" s="13" t="n">
        <x:v>3</x:v>
      </x:c>
      <x:c r="E10" s="13" t="n">
        <x:v>8</x:v>
      </x:c>
      <x:c r="F10" s="13" t="n">
        <x:v>15</x:v>
      </x:c>
      <x:c r="G10" s="11" t="n">
        <x:f>C10*AVERAGE(D10:F10)</x:f>
        <x:v>3.466666666666667</x:v>
      </x:c>
      <x:c r="H10" s="7" t="str">
        <x:v>T027</x:v>
      </x:c>
      <x:c r="I10" s="7" t="str">
        <x:v>Quality lead</x:v>
      </x:c>
      <x:c r="J10" s="7" t="str">
        <x:v>Reserve named reviewers</x:v>
      </x:c>
      <x:c r="K10" s="7" t="str">
        <x:v>Open</x:v>
      </x:c>
    </x:row>
    <x:row r="11" ht="34" customHeight="1">
      <x:c r="A11" s="7" t="str">
        <x:v>RISK-06</x:v>
      </x:c>
      <x:c r="B11" s="7" t="str">
        <x:v>Training material revision</x:v>
      </x:c>
      <x:c r="C11" s="12" t="n">
        <x:v>0.2</x:v>
      </x:c>
      <x:c r="D11" s="13" t="n">
        <x:v>4</x:v>
      </x:c>
      <x:c r="E11" s="13" t="n">
        <x:v>8</x:v>
      </x:c>
      <x:c r="F11" s="13" t="n">
        <x:v>16</x:v>
      </x:c>
      <x:c r="G11" s="11" t="n">
        <x:f>C11*AVERAGE(D11:F11)</x:f>
        <x:v>1.866666666666667</x:v>
      </x:c>
      <x:c r="H11" s="7" t="str">
        <x:v>T137</x:v>
      </x:c>
      <x:c r="I11" s="7" t="str">
        <x:v>Logistics lead</x:v>
      </x:c>
      <x:c r="J11" s="7" t="str">
        <x:v>Pilot the training package</x:v>
      </x:c>
      <x:c r="K11" s="7" t="str">
        <x:v>Open</x:v>
      </x:c>
    </x:row>
    <x:row r="12" ht="34" customHeight="1">
      <x:c r="A12" s="7" t="str">
        <x:v>RISK-07</x:v>
      </x:c>
      <x:c r="B12" s="7" t="str">
        <x:v>Acceptance documentation gap</x:v>
      </x:c>
      <x:c r="C12" s="12" t="n">
        <x:v>0.3</x:v>
      </x:c>
      <x:c r="D12" s="13" t="n">
        <x:v>3</x:v>
      </x:c>
      <x:c r="E12" s="13" t="n">
        <x:v>7</x:v>
      </x:c>
      <x:c r="F12" s="13" t="n">
        <x:v>12</x:v>
      </x:c>
      <x:c r="G12" s="11" t="n">
        <x:f>C12*AVERAGE(D12:F12)</x:f>
        <x:v>2.1999999999999997</x:v>
      </x:c>
      <x:c r="H12" s="7" t="str">
        <x:v>T132</x:v>
      </x:c>
      <x:c r="I12" s="7" t="str">
        <x:v>Delivery lead</x:v>
      </x:c>
      <x:c r="J12" s="7" t="str">
        <x:v>Perform an evidence completeness review</x:v>
      </x:c>
      <x:c r="K12" s="7" t="str">
        <x:v>Open</x:v>
      </x:c>
    </x:row>
    <x:row r="13" ht="34" customHeight="1">
      <x:c r="A13" s="7" t="str">
        <x:v>RISK-08</x:v>
      </x:c>
      <x:c r="B13" s="7" t="str">
        <x:v>Integration build regression</x:v>
      </x:c>
      <x:c r="C13" s="12" t="n">
        <x:v>0.35</x:v>
      </x:c>
      <x:c r="D13" s="13" t="n">
        <x:v>5</x:v>
      </x:c>
      <x:c r="E13" s="13" t="n">
        <x:v>12</x:v>
      </x:c>
      <x:c r="F13" s="13" t="n">
        <x:v>24</x:v>
      </x:c>
      <x:c r="G13" s="11" t="n">
        <x:f>C13*AVERAGE(D13:F13)</x:f>
        <x:v>4.783333333333333</x:v>
      </x:c>
      <x:c r="H13" s="7" t="str">
        <x:v>T052</x:v>
      </x:c>
      <x:c r="I13" s="7" t="str">
        <x:v>Software lead</x:v>
      </x:c>
      <x:c r="J13" s="7" t="str">
        <x:v>Automate regression tests</x:v>
      </x:c>
      <x:c r="K13" s="7" t="str">
        <x:v>Open</x:v>
      </x:c>
    </x:row>
    <x:row r="14" ht="34" customHeight="1">
      <x:c r="A14" s="7" t="str">
        <x:v>RISK-09</x:v>
      </x:c>
      <x:c r="B14" s="7" t="str">
        <x:v>Flight research weather window</x:v>
      </x:c>
      <x:c r="C14" s="12" t="n">
        <x:v>0.3</x:v>
      </x:c>
      <x:c r="D14" s="13" t="n">
        <x:v>5</x:v>
      </x:c>
      <x:c r="E14" s="13" t="n">
        <x:v>10</x:v>
      </x:c>
      <x:c r="F14" s="13" t="n">
        <x:v>20</x:v>
      </x:c>
      <x:c r="G14" s="11" t="n">
        <x:f>C14*AVERAGE(D14:F14)</x:f>
        <x:v>3.4999999999999996</x:v>
      </x:c>
      <x:c r="H14" s="7" t="str">
        <x:v>T112</x:v>
      </x:c>
      <x:c r="I14" s="7" t="str">
        <x:v>Test lead</x:v>
      </x:c>
      <x:c r="J14" s="7" t="str">
        <x:v>Reserve contingency windows</x:v>
      </x:c>
      <x:c r="K14" s="7" t="str">
        <x:v>Open</x:v>
      </x:c>
    </x:row>
    <x:row r="15" ht="34" customHeight="1">
      <x:c r="A15" s="7" t="str">
        <x:v>RISK-10</x:v>
      </x:c>
      <x:c r="B15" s="7" t="str">
        <x:v>Configuration discrepancy</x:v>
      </x:c>
      <x:c r="C15" s="12" t="n">
        <x:v>0.25</x:v>
      </x:c>
      <x:c r="D15" s="13" t="n">
        <x:v>3</x:v>
      </x:c>
      <x:c r="E15" s="13" t="n">
        <x:v>6</x:v>
      </x:c>
      <x:c r="F15" s="13" t="n">
        <x:v>12</x:v>
      </x:c>
      <x:c r="G15" s="11" t="n">
        <x:f>C15*AVERAGE(D15:F15)</x:f>
        <x:v>1.75</x:v>
      </x:c>
      <x:c r="H15" s="7" t="str">
        <x:v>T122</x:v>
      </x:c>
      <x:c r="I15" s="7" t="str">
        <x:v>Configuration lead</x:v>
      </x:c>
      <x:c r="J15" s="7" t="str">
        <x:v>Audit as-built records early</x:v>
      </x:c>
      <x:c r="K15" s="7" t="str">
        <x:v>Open</x:v>
      </x:c>
    </x:row>
  </x:sheetData>
  <x:dataValidations count="2">
    <x:dataValidation type="decimal" operator="between" sqref="C6:C15">
      <x:formula1>0</x:formula1>
      <x:formula2>1</x:formula2>
    </x:dataValidation>
    <x:dataValidation type="list" sqref="K6:K15">
      <x:formula1>"Open,Closed"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d6b5605b214ea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15" hidden="0" customWidth="1"/>
    <x:col min="7" max="7" width="18" hidden="0" customWidth="1"/>
    <x:col min="8" max="8" width="18" hidden="0" customWidth="1"/>
    <x:col min="9" max="9" width="22" hidden="0" customWidth="1"/>
    <x:col min="10" max="10" width="56" hidden="0" customWidth="1"/>
    <x:col min="11" max="11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Schedule change requests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3" t="str">
        <x:v>Fictional, unclassified. Status 18 Sep 2026. Derived forecast/SRA fields are Python snapshots.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34" customHeight="1">
      <x:c r="A5" s="6" t="str">
        <x:v>Request</x:v>
      </x:c>
      <x:c r="B5" s="6" t="str">
        <x:v>Task</x:v>
      </x:c>
      <x:c r="C5" s="6" t="str">
        <x:v>Field</x:v>
      </x:c>
      <x:c r="D5" s="6" t="str">
        <x:v>Before</x:v>
      </x:c>
      <x:c r="E5" s="6" t="str">
        <x:v>Requested</x:v>
      </x:c>
      <x:c r="F5" s="6" t="str">
        <x:v>Status</x:v>
      </x:c>
      <x:c r="G5" s="6" t="str">
        <x:v>Requested on</x:v>
      </x:c>
      <x:c r="H5" s="6" t="str">
        <x:v>Decision date</x:v>
      </x:c>
      <x:c r="I5" s="6" t="str">
        <x:v>Owner</x:v>
      </x:c>
      <x:c r="J5" s="6" t="str">
        <x:v>Reason</x:v>
      </x:c>
      <x:c r="K5" s="6" t="str">
        <x:v>Applied</x:v>
      </x:c>
    </x:row>
    <x:row r="6" ht="34" customHeight="1">
      <x:c r="A6" s="7" t="str">
        <x:v>CR-001</x:v>
      </x:c>
      <x:c r="B6" s="7" t="str">
        <x:v>T058</x:v>
      </x:c>
      <x:c r="C6" s="7" t="str">
        <x:v>duration</x:v>
      </x:c>
      <x:c r="D6" s="7" t="str">
        <x:v>16</x:v>
      </x:c>
      <x:c r="E6" s="7" t="str">
        <x:v>40</x:v>
      </x:c>
      <x:c r="F6" s="7" t="str">
        <x:v>Approved</x:v>
      </x:c>
      <x:c r="G6" s="8" t="n">
        <x:v>46258</x:v>
      </x:c>
      <x:c r="H6" s="8" t="n">
        <x:v>46262</x:v>
      </x:c>
      <x:c r="I6" s="7" t="str">
        <x:v>Program manager</x:v>
      </x:c>
      <x:c r="J6" s="7" t="str">
        <x:v>Expanded telemetry interface verification</x:v>
      </x:c>
      <x:c r="K6" s="15" t="b">
        <x:v>1</x:v>
      </x:c>
    </x:row>
    <x:row r="7" ht="34" customHeight="1">
      <x:c r="A7" s="7" t="str">
        <x:v>CR-002</x:v>
      </x:c>
      <x:c r="B7" s="7" t="str">
        <x:v>T097</x:v>
      </x:c>
      <x:c r="C7" s="7" t="str">
        <x:v>duration</x:v>
      </x:c>
      <x:c r="D7" s="7" t="str">
        <x:v>8</x:v>
      </x:c>
      <x:c r="E7" s="7" t="str">
        <x:v>13</x:v>
      </x:c>
      <x:c r="F7" s="7" t="str">
        <x:v>Pending</x:v>
      </x:c>
      <x:c r="G7" s="8" t="n">
        <x:v>46279</x:v>
      </x:c>
      <x:c r="H7" s="8"/>
      <x:c r="I7" s="7" t="str">
        <x:v>Test lead</x:v>
      </x:c>
      <x:c r="J7" s="7" t="str">
        <x:v>Additional environmental screening</x:v>
      </x:c>
      <x:c r="K7" s="15" t="b">
        <x:v>0</x:v>
      </x:c>
    </x:row>
    <x:row r="8" ht="34" customHeight="1">
      <x:c r="A8" s="7" t="str">
        <x:v>CR-003</x:v>
      </x:c>
      <x:c r="B8" s="7" t="str">
        <x:v>T152</x:v>
      </x:c>
      <x:c r="C8" s="7" t="str">
        <x:v>deadline</x:v>
      </x:c>
      <x:c r="D8" s="7" t="str">
        <x:v>2027-08-26</x:v>
      </x:c>
      <x:c r="E8" s="7" t="str">
        <x:v>2027-09-23</x:v>
      </x:c>
      <x:c r="F8" s="7" t="str">
        <x:v>Rejected</x:v>
      </x:c>
      <x:c r="G8" s="8" t="n">
        <x:v>46275</x:v>
      </x:c>
      <x:c r="H8" s="8" t="n">
        <x:v>46282</x:v>
      </x:c>
      <x:c r="I8" s="7" t="str">
        <x:v>Program manager</x:v>
      </x:c>
      <x:c r="J8" s="7" t="str">
        <x:v>Request to move acceptance commitment</x:v>
      </x:c>
      <x:c r="K8" s="1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f391b24a94461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36" hidden="0" customWidth="1"/>
    <x:col min="4" max="4" width="18" hidden="0" customWidth="1"/>
    <x:col min="5" max="5" width="18" hidden="0" customWidth="1"/>
    <x:col min="6" max="6" width="8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Approval event history</x:v>
      </x:c>
      <x:c r="B2" s="1"/>
      <x:c r="C2" s="1"/>
      <x:c r="D2" s="1"/>
      <x:c r="E2" s="1"/>
      <x:c r="F2" s="1"/>
    </x:row>
    <x:row r="3">
      <x:c r="A3" s="3" t="str">
        <x:v>Fictional, unclassified. Status 18 Sep 2026. Derived forecast/SRA fields are Python snapshots.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4" customHeight="1">
      <x:c r="A5" s="6" t="str">
        <x:v>Request</x:v>
      </x:c>
      <x:c r="B5" s="6" t="str">
        <x:v>Timestamp</x:v>
      </x:c>
      <x:c r="C5" s="6" t="str">
        <x:v>Actor</x:v>
      </x:c>
      <x:c r="D5" s="6" t="str">
        <x:v>From</x:v>
      </x:c>
      <x:c r="E5" s="6" t="str">
        <x:v>To</x:v>
      </x:c>
      <x:c r="F5" s="6" t="str">
        <x:v>Decision record</x:v>
      </x:c>
    </x:row>
    <x:row r="6" ht="34" customHeight="1">
      <x:c r="A6" s="7" t="str">
        <x:v>CR-001</x:v>
      </x:c>
      <x:c r="B6" s="7" t="str">
        <x:v>2026-08-24T09:00:00</x:v>
      </x:c>
      <x:c r="C6" s="7" t="str">
        <x:v>Program manager</x:v>
      </x:c>
      <x:c r="D6" s="7" t="str">
        <x:v>Draft</x:v>
      </x:c>
      <x:c r="E6" s="7" t="str">
        <x:v>Submitted</x:v>
      </x:c>
      <x:c r="F6" s="7" t="str">
        <x:v>Expanded telemetry interface verification</x:v>
      </x:c>
    </x:row>
    <x:row r="7" ht="34" customHeight="1">
      <x:c r="A7" s="7" t="str">
        <x:v>CR-001</x:v>
      </x:c>
      <x:c r="B7" s="7" t="str">
        <x:v>2026-08-28T15:00:00</x:v>
      </x:c>
      <x:c r="C7" s="7" t="str">
        <x:v>Fictional change control board</x:v>
      </x:c>
      <x:c r="D7" s="7" t="str">
        <x:v>Submitted</x:v>
      </x:c>
      <x:c r="E7" s="7" t="str">
        <x:v>Approved</x:v>
      </x:c>
      <x:c r="F7" s="7" t="str">
        <x:v>Forecast update only. Original baseline remains frozen.</x:v>
      </x:c>
    </x:row>
    <x:row r="8" ht="34" customHeight="1">
      <x:c r="A8" s="7" t="str">
        <x:v>CR-002</x:v>
      </x:c>
      <x:c r="B8" s="7" t="str">
        <x:v>2026-09-14T09:00:00</x:v>
      </x:c>
      <x:c r="C8" s="7" t="str">
        <x:v>Test lead</x:v>
      </x:c>
      <x:c r="D8" s="7" t="str">
        <x:v>Draft</x:v>
      </x:c>
      <x:c r="E8" s="7" t="str">
        <x:v>Submitted</x:v>
      </x:c>
      <x:c r="F8" s="7" t="str">
        <x:v>Additional environmental screening</x:v>
      </x:c>
    </x:row>
    <x:row r="9" ht="34" customHeight="1">
      <x:c r="A9" s="7" t="str">
        <x:v>CR-003</x:v>
      </x:c>
      <x:c r="B9" s="7" t="str">
        <x:v>2026-09-10T09:00:00</x:v>
      </x:c>
      <x:c r="C9" s="7" t="str">
        <x:v>Program manager</x:v>
      </x:c>
      <x:c r="D9" s="7" t="str">
        <x:v>Draft</x:v>
      </x:c>
      <x:c r="E9" s="7" t="str">
        <x:v>Submitted</x:v>
      </x:c>
      <x:c r="F9" s="7" t="str">
        <x:v>Request to move acceptance commitment</x:v>
      </x:c>
    </x:row>
    <x:row r="10" ht="34" customHeight="1">
      <x:c r="A10" s="7" t="str">
        <x:v>CR-003</x:v>
      </x:c>
      <x:c r="B10" s="7" t="str">
        <x:v>2026-09-17T15:00:00</x:v>
      </x:c>
      <x:c r="C10" s="7" t="str">
        <x:v>Fictional change control board</x:v>
      </x:c>
      <x:c r="D10" s="7" t="str">
        <x:v>Submitted</x:v>
      </x:c>
      <x:c r="E10" s="7" t="str">
        <x:v>Rejected</x:v>
      </x:c>
      <x:c r="F10" s="7" t="str">
        <x:v>Forecast update only. Original baseline remains frozen.</x:v>
      </x:c>
    </x:row>
  </x:sheetData>
  <x:pageMargins left="0.7" right="0.7" top="0.75" bottom="0.75" header="0.3" footer="0.3"/>
  <x:tableParts count="1">
    <x:tablePart xmlns:r="http://schemas.openxmlformats.org/officeDocument/2006/relationships" r:id="Rabf8f0ee12b6449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17" hidden="0" customWidth="1"/>
    <x:col min="5" max="5" width="16" hidden="0" customWidth="1"/>
    <x:col min="6" max="6" width="15" hidden="0" customWidth="1"/>
    <x:col min="7" max="7" width="13" hidden="0" customWidth="1"/>
    <x:col min="8" max="8" width="14" hidden="0" customWidth="1"/>
    <x:col min="9" max="9" width="1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Schedule-health assessment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Fictional, unclassified. Status 18 Sep 2026. Derived forecast/SRA fields are Python snapshots.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4" customHeight="1">
      <x:c r="A5" s="6" t="str">
        <x:v>Point</x:v>
      </x:c>
      <x:c r="B5" s="6" t="str">
        <x:v>Indicator</x:v>
      </x:c>
      <x:c r="C5" s="6" t="str">
        <x:v>Numerator</x:v>
      </x:c>
      <x:c r="D5" s="6" t="str">
        <x:v>Denominator</x:v>
      </x:c>
      <x:c r="E5" s="6" t="str">
        <x:v>Result</x:v>
      </x:c>
      <x:c r="F5" s="6" t="str">
        <x:v>Threshold</x:v>
      </x:c>
      <x:c r="G5" s="6" t="str">
        <x:v>Direction</x:v>
      </x:c>
      <x:c r="H5" s="6" t="str">
        <x:v>Status</x:v>
      </x:c>
      <x:c r="I5" s="6" t="str">
        <x:v>Population and method</x:v>
      </x:c>
    </x:row>
    <x:row r="6" ht="34" customHeight="1">
      <x:c r="A6" s="7" t="n">
        <x:v>1</x:v>
      </x:c>
      <x:c r="B6" s="7" t="str">
        <x:v>Missing logic</x:v>
      </x:c>
      <x:c r="C6" s="7" t="n">
        <x:v>0</x:v>
      </x:c>
      <x:c r="D6" s="7" t="n">
        <x:v>58</x:v>
      </x:c>
      <x:c r="E6" s="16" t="n">
        <x:v>0</x:v>
      </x:c>
      <x:c r="F6" s="16" t="n">
        <x:v>0.05</x:v>
      </x:c>
      <x:c r="G6" s="7" t="str">
        <x:v>max</x:v>
      </x:c>
      <x:c r="H6" s="7" t="str">
        <x:v>PASS</x:v>
      </x:c>
      <x:c r="I6" s="7" t="str">
        <x:v>Incomplete non-milestone activities</x:v>
      </x:c>
    </x:row>
    <x:row r="7" ht="34" customHeight="1">
      <x:c r="A7" s="7" t="n">
        <x:v>2</x:v>
      </x:c>
      <x:c r="B7" s="7" t="str">
        <x:v>Leads</x:v>
      </x:c>
      <x:c r="C7" s="7" t="n">
        <x:v>0</x:v>
      </x:c>
      <x:c r="D7" s="7" t="n">
        <x:v>117</x:v>
      </x:c>
      <x:c r="E7" s="16" t="n">
        <x:v>0</x:v>
      </x:c>
      <x:c r="F7" s="16" t="n">
        <x:v>0</x:v>
      </x:c>
      <x:c r="G7" s="7" t="str">
        <x:v>max</x:v>
      </x:c>
      <x:c r="H7" s="7" t="str">
        <x:v>PASS</x:v>
      </x:c>
      <x:c r="I7" s="7" t="str">
        <x:v>Relationships into incomplete tasks</x:v>
      </x:c>
    </x:row>
    <x:row r="8" ht="34" customHeight="1">
      <x:c r="A8" s="7" t="n">
        <x:v>3</x:v>
      </x:c>
      <x:c r="B8" s="7" t="str">
        <x:v>Lags</x:v>
      </x:c>
      <x:c r="C8" s="7" t="n">
        <x:v>15</x:v>
      </x:c>
      <x:c r="D8" s="7" t="n">
        <x:v>117</x:v>
      </x:c>
      <x:c r="E8" s="16" t="n">
        <x:v>0.1282051282051282</x:v>
      </x:c>
      <x:c r="F8" s="16" t="n">
        <x:v>0.05</x:v>
      </x:c>
      <x:c r="G8" s="7" t="str">
        <x:v>max</x:v>
      </x:c>
      <x:c r="H8" s="7" t="str">
        <x:v>REVIEW</x:v>
      </x:c>
      <x:c r="I8" s="7" t="str">
        <x:v>Relationships into incomplete tasks</x:v>
      </x:c>
    </x:row>
    <x:row r="9" ht="34" customHeight="1">
      <x:c r="A9" s="7" t="n">
        <x:v>4</x:v>
      </x:c>
      <x:c r="B9" s="7" t="str">
        <x:v>Finish-to-start relationships</x:v>
      </x:c>
      <x:c r="C9" s="7" t="n">
        <x:v>87</x:v>
      </x:c>
      <x:c r="D9" s="7" t="n">
        <x:v>117</x:v>
      </x:c>
      <x:c r="E9" s="16" t="n">
        <x:v>0.7435897435897436</x:v>
      </x:c>
      <x:c r="F9" s="16" t="n">
        <x:v>0.9</x:v>
      </x:c>
      <x:c r="G9" s="7" t="str">
        <x:v>min</x:v>
      </x:c>
      <x:c r="H9" s="7" t="str">
        <x:v>REVIEW</x:v>
      </x:c>
      <x:c r="I9" s="7" t="str">
        <x:v>Relationships into incomplete tasks</x:v>
      </x:c>
    </x:row>
    <x:row r="10" ht="34" customHeight="1">
      <x:c r="A10" s="7" t="n">
        <x:v>5</x:v>
      </x:c>
      <x:c r="B10" s="7" t="str">
        <x:v>Hard constraints</x:v>
      </x:c>
      <x:c r="C10" s="7" t="n">
        <x:v>0</x:v>
      </x:c>
      <x:c r="D10" s="7" t="n">
        <x:v>58</x:v>
      </x:c>
      <x:c r="E10" s="16" t="n">
        <x:v>0</x:v>
      </x:c>
      <x:c r="F10" s="16" t="n">
        <x:v>0.05</x:v>
      </x:c>
      <x:c r="G10" s="7" t="str">
        <x:v>max</x:v>
      </x:c>
      <x:c r="H10" s="7" t="str">
        <x:v>PASS</x:v>
      </x:c>
      <x:c r="I10" s="7" t="str">
        <x:v>Incomplete non-milestone activities</x:v>
      </x:c>
    </x:row>
    <x:row r="11" ht="34" customHeight="1">
      <x:c r="A11" s="7" t="n">
        <x:v>6</x:v>
      </x:c>
      <x:c r="B11" s="7" t="str">
        <x:v>High float</x:v>
      </x:c>
      <x:c r="C11" s="7" t="n">
        <x:v>3</x:v>
      </x:c>
      <x:c r="D11" s="7" t="n">
        <x:v>58</x:v>
      </x:c>
      <x:c r="E11" s="16" t="n">
        <x:v>0.05172413793103448</x:v>
      </x:c>
      <x:c r="F11" s="16" t="n">
        <x:v>0.05</x:v>
      </x:c>
      <x:c r="G11" s="7" t="str">
        <x:v>max</x:v>
      </x:c>
      <x:c r="H11" s="7" t="str">
        <x:v>REVIEW</x:v>
      </x:c>
      <x:c r="I11" s="7" t="str">
        <x:v>Incomplete non-milestone activities</x:v>
      </x:c>
    </x:row>
    <x:row r="12" ht="34" customHeight="1">
      <x:c r="A12" s="7" t="n">
        <x:v>7</x:v>
      </x:c>
      <x:c r="B12" s="7" t="str">
        <x:v>Negative float</x:v>
      </x:c>
      <x:c r="C12" s="7" t="n">
        <x:v>51</x:v>
      </x:c>
      <x:c r="D12" s="7" t="n">
        <x:v>58</x:v>
      </x:c>
      <x:c r="E12" s="16" t="n">
        <x:v>0.8793103448275862</x:v>
      </x:c>
      <x:c r="F12" s="16" t="n">
        <x:v>0</x:v>
      </x:c>
      <x:c r="G12" s="7" t="str">
        <x:v>max</x:v>
      </x:c>
      <x:c r="H12" s="7" t="str">
        <x:v>REVIEW</x:v>
      </x:c>
      <x:c r="I12" s="7" t="str">
        <x:v>Incomplete non-milestone activities</x:v>
      </x:c>
    </x:row>
    <x:row r="13" ht="34" customHeight="1">
      <x:c r="A13" s="7" t="n">
        <x:v>8</x:v>
      </x:c>
      <x:c r="B13" s="7" t="str">
        <x:v>High duration</x:v>
      </x:c>
      <x:c r="C13" s="7" t="n">
        <x:v>0</x:v>
      </x:c>
      <x:c r="D13" s="7" t="n">
        <x:v>58</x:v>
      </x:c>
      <x:c r="E13" s="16" t="n">
        <x:v>0</x:v>
      </x:c>
      <x:c r="F13" s="16" t="n">
        <x:v>0.05</x:v>
      </x:c>
      <x:c r="G13" s="7" t="str">
        <x:v>max</x:v>
      </x:c>
      <x:c r="H13" s="7" t="str">
        <x:v>PASS</x:v>
      </x:c>
      <x:c r="I13" s="7" t="str">
        <x:v>Incomplete non-milestone activities</x:v>
      </x:c>
    </x:row>
    <x:row r="14" ht="34" customHeight="1">
      <x:c r="A14" s="7" t="n">
        <x:v>9</x:v>
      </x:c>
      <x:c r="B14" s="7" t="str">
        <x:v>Invalid dates</x:v>
      </x:c>
      <x:c r="C14" s="7" t="n">
        <x:v>0</x:v>
      </x:c>
      <x:c r="D14" s="7" t="n">
        <x:v>58</x:v>
      </x:c>
      <x:c r="E14" s="16" t="n">
        <x:v>0</x:v>
      </x:c>
      <x:c r="F14" s="16" t="n">
        <x:v>0</x:v>
      </x:c>
      <x:c r="G14" s="7" t="str">
        <x:v>max</x:v>
      </x:c>
      <x:c r="H14" s="7" t="str">
        <x:v>PASS</x:v>
      </x:c>
      <x:c r="I14" s="7" t="str">
        <x:v>Incomplete non-milestone activities</x:v>
      </x:c>
    </x:row>
    <x:row r="15" ht="34" customHeight="1">
      <x:c r="A15" s="7" t="n">
        <x:v>10</x:v>
      </x:c>
      <x:c r="B15" s="7" t="str">
        <x:v>Missing resources</x:v>
      </x:c>
      <x:c r="C15" s="7" t="n">
        <x:v>0</x:v>
      </x:c>
      <x:c r="D15" s="7" t="n">
        <x:v>58</x:v>
      </x:c>
      <x:c r="E15" s="16" t="n">
        <x:v>0</x:v>
      </x:c>
      <x:c r="F15" s="16" t="n">
        <x:v>0</x:v>
      </x:c>
      <x:c r="G15" s="7" t="str">
        <x:v>max</x:v>
      </x:c>
      <x:c r="H15" s="7" t="str">
        <x:v>PASS</x:v>
      </x:c>
      <x:c r="I15" s="7" t="str">
        <x:v>Incomplete non-milestone activities</x:v>
      </x:c>
    </x:row>
    <x:row r="16" ht="34" customHeight="1">
      <x:c r="A16" s="7" t="n">
        <x:v>11</x:v>
      </x:c>
      <x:c r="B16" s="7" t="str">
        <x:v>Missed baseline tasks</x:v>
      </x:c>
      <x:c r="C16" s="7" t="n">
        <x:v>11</x:v>
      </x:c>
      <x:c r="D16" s="7" t="n">
        <x:v>65</x:v>
      </x:c>
      <x:c r="E16" s="16" t="n">
        <x:v>0.16923076923076924</x:v>
      </x:c>
      <x:c r="F16" s="16" t="n">
        <x:v>0.05</x:v>
      </x:c>
      <x:c r="G16" s="7" t="str">
        <x:v>max</x:v>
      </x:c>
      <x:c r="H16" s="7" t="str">
        <x:v>REVIEW</x:v>
      </x:c>
      <x:c r="I16" s="7" t="str">
        <x:v>Detail activities due by status, includes late completions</x:v>
      </x:c>
    </x:row>
    <x:row r="17" ht="34" customHeight="1">
      <x:c r="A17" s="7" t="n">
        <x:v>12</x:v>
      </x:c>
      <x:c r="B17" s="7" t="str">
        <x:v>Critical path test</x:v>
      </x:c>
      <x:c r="C17" s="7" t="n">
        <x:v>600</x:v>
      </x:c>
      <x:c r="D17" s="7" t="n">
        <x:v>600</x:v>
      </x:c>
      <x:c r="E17" s="16" t="n">
        <x:v>1</x:v>
      </x:c>
      <x:c r="F17" s="16" t="n">
        <x:v>1</x:v>
      </x:c>
      <x:c r="G17" s="7" t="str">
        <x:v>min</x:v>
      </x:c>
      <x:c r="H17" s="7" t="str">
        <x:v>PASS</x:v>
      </x:c>
      <x:c r="I17" s="7" t="str">
        <x:v>Perturbed T058 by 600 workdays; exact 600-day response required</x:v>
      </x:c>
    </x:row>
    <x:row r="18" ht="34" customHeight="1">
      <x:c r="A18" s="7" t="n">
        <x:v>13</x:v>
      </x:c>
      <x:c r="B18" s="7" t="str">
        <x:v>Critical path length index</x:v>
      </x:c>
      <x:c r="C18" s="7" t="n">
        <x:v>244</x:v>
      </x:c>
      <x:c r="D18" s="7" t="n">
        <x:v>262</x:v>
      </x:c>
      <x:c r="E18" s="16" t="n">
        <x:v>0.9312977099236641</x:v>
      </x:c>
      <x:c r="F18" s="16" t="n">
        <x:v>0.95</x:v>
      </x:c>
      <x:c r="G18" s="7" t="str">
        <x:v>min</x:v>
      </x:c>
      <x:c r="H18" s="7" t="str">
        <x:v>REVIEW</x:v>
      </x:c>
      <x:c r="I18" s="7" t="str">
        <x:v>(Remaining calendar span + final deadline float) / remaining span; simplified CPLI</x:v>
      </x:c>
    </x:row>
    <x:row r="19" ht="34" customHeight="1">
      <x:c r="A19" s="7" t="n">
        <x:v>14</x:v>
      </x:c>
      <x:c r="B19" s="7" t="str">
        <x:v>Baseline execution index</x:v>
      </x:c>
      <x:c r="C19" s="7" t="n">
        <x:v>62</x:v>
      </x:c>
      <x:c r="D19" s="7" t="n">
        <x:v>65</x:v>
      </x:c>
      <x:c r="E19" s="16" t="n">
        <x:v>0.9538461538461539</x:v>
      </x:c>
      <x:c r="F19" s="16" t="n">
        <x:v>0.95</x:v>
      </x:c>
      <x:c r="G19" s="7" t="str">
        <x:v>min</x:v>
      </x:c>
      <x:c r="H19" s="7" t="str">
        <x:v>PASS</x:v>
      </x:c>
      <x:c r="I19" s="7" t="str">
        <x:v>All completed detail activities / detail activities baseline-due by status</x:v>
      </x:c>
    </x:row>
  </x:sheetData>
  <x:conditionalFormatting sqref="H6:H19">
    <x:cfRule type="containsText" dxfId="1" priority="1" operator="containsText" text="REVIEW"/>
  </x:conditionalFormatting>
  <x:pageMargins left="0.7" right="0.7" top="0.75" bottom="0.75" header="0.3" footer="0.3"/>
  <x:tableParts count="1">
    <x:tablePart xmlns:r="http://schemas.openxmlformats.org/officeDocument/2006/relationships" r:id="R51780f037f4e44e2"/>
  </x:tableParts>
</x:worksheet>
</file>